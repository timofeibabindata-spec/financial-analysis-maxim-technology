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of\OneDrive\Рабочий стол\"/>
    </mc:Choice>
  </mc:AlternateContent>
  <xr:revisionPtr revIDLastSave="0" documentId="8_{02006224-531D-4636-8787-47E4008BD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tics_mart" sheetId="1" r:id="rId1"/>
    <sheet name="clean_financials_2020_2025" sheetId="2" r:id="rId2"/>
    <sheet name="clean_balance_2020_2025" sheetId="3" r:id="rId3"/>
    <sheet name="clean_income_statement_2020_202" sheetId="4" r:id="rId4"/>
    <sheet name="2023-2025" sheetId="5" r:id="rId5"/>
    <sheet name="2020-2022" sheetId="6" r:id="rId6"/>
    <sheet name="офр_24_25" sheetId="7" r:id="rId7"/>
    <sheet name="офр_22_23" sheetId="8" r:id="rId8"/>
    <sheet name="офр_20_21" sheetId="9" r:id="rId9"/>
  </sheets>
  <definedNames>
    <definedName name="ExternalData_1" localSheetId="5" hidden="1">'2020-2022'!$A$1:$E$85</definedName>
    <definedName name="ExternalData_1" localSheetId="8" hidden="1">офр_20_21!$A$1:$E$37</definedName>
    <definedName name="ExternalData_2" localSheetId="4" hidden="1">'2023-2025'!$A$1:$E$85</definedName>
    <definedName name="ExternalData_2" localSheetId="7" hidden="1">офр_22_23!$A$1:$E$37</definedName>
    <definedName name="ExternalData_3" localSheetId="2" hidden="1">'clean_balance_2020_2025'!$A$1:$E$169</definedName>
    <definedName name="ExternalData_3" localSheetId="6" hidden="1">офр_24_25!$A$1:$E$37</definedName>
    <definedName name="ExternalData_4" localSheetId="3" hidden="1">clean_income_statement_2020_202!$A$1:$E$109</definedName>
    <definedName name="ExternalData_5" localSheetId="1" hidden="1">clean_financials_2020_2025!$A$1:$E$277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" i="1" l="1"/>
  <c r="P7" i="1"/>
  <c r="O7" i="1"/>
  <c r="V7" i="1" s="1"/>
  <c r="AI7" i="1" s="1"/>
  <c r="N7" i="1"/>
  <c r="AD7" i="1" s="1"/>
  <c r="M7" i="1"/>
  <c r="L7" i="1"/>
  <c r="R7" i="1" s="1"/>
  <c r="K7" i="1"/>
  <c r="U7" i="1" s="1"/>
  <c r="J7" i="1"/>
  <c r="AC7" i="1" s="1"/>
  <c r="I7" i="1"/>
  <c r="H7" i="1"/>
  <c r="AL7" i="1" s="1"/>
  <c r="G7" i="1"/>
  <c r="F7" i="1"/>
  <c r="E7" i="1"/>
  <c r="X7" i="1" s="1"/>
  <c r="D7" i="1"/>
  <c r="W7" i="1" s="1"/>
  <c r="C7" i="1"/>
  <c r="B7" i="1"/>
  <c r="W6" i="1"/>
  <c r="S6" i="1"/>
  <c r="Q6" i="1"/>
  <c r="P6" i="1"/>
  <c r="O6" i="1"/>
  <c r="V6" i="1" s="1"/>
  <c r="AI6" i="1" s="1"/>
  <c r="N6" i="1"/>
  <c r="AD6" i="1" s="1"/>
  <c r="M6" i="1"/>
  <c r="L6" i="1"/>
  <c r="R6" i="1" s="1"/>
  <c r="K6" i="1"/>
  <c r="U6" i="1" s="1"/>
  <c r="J6" i="1"/>
  <c r="AC6" i="1" s="1"/>
  <c r="I6" i="1"/>
  <c r="H6" i="1"/>
  <c r="AL6" i="1" s="1"/>
  <c r="G6" i="1"/>
  <c r="F6" i="1"/>
  <c r="E6" i="1"/>
  <c r="X6" i="1" s="1"/>
  <c r="D6" i="1"/>
  <c r="C6" i="1"/>
  <c r="B6" i="1"/>
  <c r="AJ5" i="1"/>
  <c r="AB5" i="1"/>
  <c r="X5" i="1"/>
  <c r="Q5" i="1"/>
  <c r="P5" i="1"/>
  <c r="O5" i="1"/>
  <c r="V5" i="1" s="1"/>
  <c r="AI5" i="1" s="1"/>
  <c r="N5" i="1"/>
  <c r="AD5" i="1" s="1"/>
  <c r="M5" i="1"/>
  <c r="L5" i="1"/>
  <c r="R5" i="1" s="1"/>
  <c r="K5" i="1"/>
  <c r="AE5" i="1" s="1"/>
  <c r="J5" i="1"/>
  <c r="S5" i="1" s="1"/>
  <c r="I5" i="1"/>
  <c r="H5" i="1"/>
  <c r="AL5" i="1" s="1"/>
  <c r="G5" i="1"/>
  <c r="F5" i="1"/>
  <c r="E5" i="1"/>
  <c r="D5" i="1"/>
  <c r="W5" i="1" s="1"/>
  <c r="C5" i="1"/>
  <c r="B5" i="1"/>
  <c r="AK4" i="1"/>
  <c r="Y4" i="1"/>
  <c r="U4" i="1"/>
  <c r="Q4" i="1"/>
  <c r="AC4" i="1" s="1"/>
  <c r="P4" i="1"/>
  <c r="O4" i="1"/>
  <c r="N4" i="1"/>
  <c r="AD4" i="1" s="1"/>
  <c r="M4" i="1"/>
  <c r="R4" i="1" s="1"/>
  <c r="L4" i="1"/>
  <c r="K4" i="1"/>
  <c r="AE4" i="1" s="1"/>
  <c r="J4" i="1"/>
  <c r="AB4" i="1" s="1"/>
  <c r="I4" i="1"/>
  <c r="H4" i="1"/>
  <c r="T4" i="1" s="1"/>
  <c r="G4" i="1"/>
  <c r="AA4" i="1" s="1"/>
  <c r="F4" i="1"/>
  <c r="E4" i="1"/>
  <c r="X4" i="1" s="1"/>
  <c r="D4" i="1"/>
  <c r="W4" i="1" s="1"/>
  <c r="C4" i="1"/>
  <c r="B4" i="1"/>
  <c r="AJ4" i="1" s="1"/>
  <c r="AL3" i="1"/>
  <c r="R3" i="1"/>
  <c r="AG3" i="1" s="1"/>
  <c r="Q3" i="1"/>
  <c r="P3" i="1"/>
  <c r="O3" i="1"/>
  <c r="V4" i="1" s="1"/>
  <c r="AI4" i="1" s="1"/>
  <c r="N3" i="1"/>
  <c r="AD3" i="1" s="1"/>
  <c r="M3" i="1"/>
  <c r="L3" i="1"/>
  <c r="K3" i="1"/>
  <c r="U3" i="1" s="1"/>
  <c r="J3" i="1"/>
  <c r="AC3" i="1" s="1"/>
  <c r="I3" i="1"/>
  <c r="H3" i="1"/>
  <c r="T3" i="1" s="1"/>
  <c r="Z3" i="1" s="1"/>
  <c r="G3" i="1"/>
  <c r="AK3" i="1" s="1"/>
  <c r="F3" i="1"/>
  <c r="E3" i="1"/>
  <c r="X3" i="1" s="1"/>
  <c r="D3" i="1"/>
  <c r="W3" i="1" s="1"/>
  <c r="C3" i="1"/>
  <c r="B3" i="1"/>
  <c r="AJ3" i="1" s="1"/>
  <c r="AL2" i="1"/>
  <c r="AK2" i="1"/>
  <c r="AJ2" i="1"/>
  <c r="AI2" i="1"/>
  <c r="AH2" i="1"/>
  <c r="AA2" i="1"/>
  <c r="Z2" i="1"/>
  <c r="W2" i="1"/>
  <c r="V2" i="1"/>
  <c r="U2" i="1"/>
  <c r="T2" i="1"/>
  <c r="S2" i="1"/>
  <c r="Q2" i="1"/>
  <c r="P2" i="1"/>
  <c r="O2" i="1"/>
  <c r="V3" i="1" s="1"/>
  <c r="AI3" i="1" s="1"/>
  <c r="N2" i="1"/>
  <c r="AD2" i="1" s="1"/>
  <c r="M2" i="1"/>
  <c r="AB2" i="1" s="1"/>
  <c r="L2" i="1"/>
  <c r="R2" i="1" s="1"/>
  <c r="K2" i="1"/>
  <c r="AE2" i="1" s="1"/>
  <c r="J2" i="1"/>
  <c r="AC2" i="1" s="1"/>
  <c r="I2" i="1"/>
  <c r="H2" i="1"/>
  <c r="G2" i="1"/>
  <c r="Y2" i="1" s="1"/>
  <c r="F2" i="1"/>
  <c r="E2" i="1"/>
  <c r="X2" i="1" s="1"/>
  <c r="D2" i="1"/>
  <c r="C2" i="1"/>
  <c r="B2" i="1"/>
  <c r="AG2" i="1" l="1"/>
  <c r="AF2" i="1"/>
  <c r="AF5" i="1"/>
  <c r="AG5" i="1"/>
  <c r="AG6" i="1"/>
  <c r="AF6" i="1"/>
  <c r="AG7" i="1"/>
  <c r="AF7" i="1"/>
  <c r="AA5" i="1"/>
  <c r="AF4" i="1"/>
  <c r="AG4" i="1"/>
  <c r="AH5" i="1"/>
  <c r="Z6" i="1"/>
  <c r="S3" i="1"/>
  <c r="AA3" i="1"/>
  <c r="AE3" i="1"/>
  <c r="Z4" i="1"/>
  <c r="AH4" i="1"/>
  <c r="AL4" i="1"/>
  <c r="U5" i="1"/>
  <c r="Y5" i="1"/>
  <c r="AC5" i="1"/>
  <c r="AK5" i="1"/>
  <c r="T6" i="1"/>
  <c r="AH6" i="1" s="1"/>
  <c r="AB6" i="1"/>
  <c r="AJ6" i="1"/>
  <c r="S7" i="1"/>
  <c r="AA7" i="1"/>
  <c r="AE7" i="1"/>
  <c r="AH3" i="1"/>
  <c r="T5" i="1"/>
  <c r="AA6" i="1"/>
  <c r="AE6" i="1"/>
  <c r="AB3" i="1"/>
  <c r="AF3" i="1"/>
  <c r="S4" i="1"/>
  <c r="Z5" i="1"/>
  <c r="Y6" i="1"/>
  <c r="AK6" i="1"/>
  <c r="T7" i="1"/>
  <c r="Z7" i="1" s="1"/>
  <c r="AB7" i="1"/>
  <c r="AJ7" i="1"/>
  <c r="Y3" i="1"/>
  <c r="Y7" i="1"/>
  <c r="AK7" i="1"/>
  <c r="AH7" i="1" l="1"/>
</calcChain>
</file>

<file path=xl/sharedStrings.xml><?xml version="1.0" encoding="utf-8"?>
<sst xmlns="http://schemas.openxmlformats.org/spreadsheetml/2006/main" count="1734" uniqueCount="93">
  <si>
    <t>line_name</t>
  </si>
  <si>
    <t>line_code</t>
  </si>
  <si>
    <t>year</t>
  </si>
  <si>
    <t>value</t>
  </si>
  <si>
    <t>statement</t>
  </si>
  <si>
    <t>Итого по разделу I</t>
  </si>
  <si>
    <t>balance</t>
  </si>
  <si>
    <t>Нематериальные активы</t>
  </si>
  <si>
    <t>Основные средства</t>
  </si>
  <si>
    <t>Доходные вложения в материальные ценности</t>
  </si>
  <si>
    <t>Финансовые вложения</t>
  </si>
  <si>
    <t>Отложенные налоговые активы</t>
  </si>
  <si>
    <t>Итого по разделу II</t>
  </si>
  <si>
    <t>Запасы</t>
  </si>
  <si>
    <t>Налог на добавленную стоимость по приобретенным ценностям</t>
  </si>
  <si>
    <t>Дебиторская задолженность</t>
  </si>
  <si>
    <t>Финансовые вложения (за исключением денежных эквивалентов)</t>
  </si>
  <si>
    <t>Денежные средства и денежные эквиваленты</t>
  </si>
  <si>
    <t>Прочие оборотные активы</t>
  </si>
  <si>
    <t>Итого по разделу III</t>
  </si>
  <si>
    <t>Уставный капитал</t>
  </si>
  <si>
    <t>Добавочный капитал</t>
  </si>
  <si>
    <t>Нераспределенная прибыль (непокрытый убыток)</t>
  </si>
  <si>
    <t>Итого по разделу IV</t>
  </si>
  <si>
    <t>Заемные средства</t>
  </si>
  <si>
    <t>Отложенные налоговые обязательства</t>
  </si>
  <si>
    <t>Прочие краткосрочные обязательства</t>
  </si>
  <si>
    <t>Итого по разделу V</t>
  </si>
  <si>
    <t>Кредиторская задолженность</t>
  </si>
  <si>
    <t>Оценочные обязательства</t>
  </si>
  <si>
    <t>БАЛАНС (актив)</t>
  </si>
  <si>
    <t>БАЛАНС (пассив)</t>
  </si>
  <si>
    <t>Валовая прибыль (убыток)</t>
  </si>
  <si>
    <t>income_statement</t>
  </si>
  <si>
    <t>Выручка</t>
  </si>
  <si>
    <t>Себестоимость продаж</t>
  </si>
  <si>
    <t>Прибыль (убыток) от продаж</t>
  </si>
  <si>
    <t>Коммерческие расходы</t>
  </si>
  <si>
    <t>Управленческие расходы</t>
  </si>
  <si>
    <t>Прибыль (убыток) до налогообложения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</si>
  <si>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</si>
  <si>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</si>
  <si>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</si>
  <si>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</si>
  <si>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</si>
  <si>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Чистая прибыль (убыток)</t>
  </si>
  <si>
    <t>Налог на прибыль</t>
  </si>
  <si>
    <t>Текущий налог на прибыль</t>
  </si>
  <si>
    <t>Отложенный налог на прибыль</t>
  </si>
  <si>
    <t>Прочее</t>
  </si>
  <si>
    <t>Совокупный финансовый результат</t>
  </si>
  <si>
    <t>Инвестиционная недвижимость</t>
  </si>
  <si>
    <t>Уставный капитал (складочный капитал, уставный фонд, вклады товарищей)</t>
  </si>
  <si>
    <t>Уставный капитал5</t>
  </si>
  <si>
    <t>Добавочный капитал (без переоценки)</t>
  </si>
  <si>
    <t>Добавочный капитал (без накопленной дооценки)</t>
  </si>
  <si>
    <t>Прочие обязательства</t>
  </si>
  <si>
    <t>Прочие долгосрочные обязательства</t>
  </si>
  <si>
    <t>БАЛАНС</t>
  </si>
  <si>
    <t>БАЛАНС(пассив)</t>
  </si>
  <si>
    <t>Год</t>
  </si>
  <si>
    <t>Валовая прибыль</t>
  </si>
  <si>
    <t>Прибыль от продаж</t>
  </si>
  <si>
    <t>Прибыль до налогообложения</t>
  </si>
  <si>
    <t>Чистая прибыль</t>
  </si>
  <si>
    <t>Активы всего</t>
  </si>
  <si>
    <t>Внеоборотные активы</t>
  </si>
  <si>
    <t>Оборотные активы</t>
  </si>
  <si>
    <t>Капитал и резервы</t>
  </si>
  <si>
    <t>Долгосрочные обязательства</t>
  </si>
  <si>
    <t>Краткосрочные обязательства</t>
  </si>
  <si>
    <t>Денежные средства и эквиваленты</t>
  </si>
  <si>
    <t>Обязательства всего</t>
  </si>
  <si>
    <t>Чистый оборотный капитал</t>
  </si>
  <si>
    <t>Средние активы</t>
  </si>
  <si>
    <t>Средний капитал</t>
  </si>
  <si>
    <t>Средняя дебиторская задолженность</t>
  </si>
  <si>
    <t>Валовая маржа</t>
  </si>
  <si>
    <t>Маржа продаж</t>
  </si>
  <si>
    <t>Чистая маржа</t>
  </si>
  <si>
    <t>Рентабельность активов</t>
  </si>
  <si>
    <t>Рентабельность собственного капитала</t>
  </si>
  <si>
    <t>Коэффициент текущей ликвидности</t>
  </si>
  <si>
    <t>Коэффициент быстрой ликвидности</t>
  </si>
  <si>
    <t>Коэффициент абсолютной ликвидности</t>
  </si>
  <si>
    <t>Коэффициент автономии</t>
  </si>
  <si>
    <t>Соотношение обязательств и капитала</t>
  </si>
  <si>
    <t>Доля обязательств в активах</t>
  </si>
  <si>
    <t>Оборачиваемость активов</t>
  </si>
  <si>
    <t>Период погашения дебиторской задолженности, дней</t>
  </si>
  <si>
    <t>Темп роста выручки</t>
  </si>
  <si>
    <t>Темп роста чистой прибыли</t>
  </si>
  <si>
    <t>Темп роста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</si>
</sst>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2" x14ac:knownFonts="1">
    <font>
      <sz val="11"/>
      <color theme="1"/>
      <name val="Calibri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1" fontId="0" fillId="0" borderId="4" xfId="0" applyNumberFormat="1" applyFont="1" applyFill="1" applyBorder="1"/>
    <xf numFmtId="1" fontId="0" fillId="0" borderId="7" xfId="0" applyNumberFormat="1" applyFont="1" applyFill="1" applyBorder="1"/>
    <xf numFmtId="10" fontId="0" fillId="0" borderId="5" xfId="0" applyNumberFormat="1" applyFont="1" applyFill="1" applyBorder="1"/>
    <xf numFmtId="10" fontId="0" fillId="0" borderId="8" xfId="0" applyNumberFormat="1" applyFont="1" applyFill="1" applyBorder="1"/>
    <xf numFmtId="2" fontId="0" fillId="0" borderId="5" xfId="0" applyNumberFormat="1" applyFont="1" applyFill="1" applyBorder="1"/>
    <xf numFmtId="2" fontId="0" fillId="0" borderId="8" xfId="0" applyNumberFormat="1" applyFont="1" applyFill="1" applyBorder="1"/>
    <xf numFmtId="10" fontId="0" fillId="0" borderId="6" xfId="0" applyNumberFormat="1" applyFont="1" applyFill="1" applyBorder="1"/>
    <xf numFmtId="10" fontId="0" fillId="0" borderId="9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64" fontId="0" fillId="0" borderId="5" xfId="0" applyNumberFormat="1" applyFont="1" applyFill="1" applyBorder="1"/>
    <xf numFmtId="164" fontId="0" fillId="0" borderId="8" xfId="0" applyNumberFormat="1" applyFont="1" applyFill="1" applyBorder="1"/>
    <xf numFmtId="1" fontId="0" fillId="0" borderId="5" xfId="0" applyNumberFormat="1" applyFont="1" applyFill="1" applyBorder="1"/>
    <xf numFmtId="1" fontId="0" fillId="0" borderId="8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analytics" displayName="analytics" ref="A1:P7">
  <autoFilter ref="A1:P7" xr:uid="{00000000-0009-0000-0100-000009000000}"/>
  <tableColumns count="16">
    <tableColumn id="1" xr3:uid="{00000000-0010-0000-0000-000001000000}" name="year"/>
    <tableColumn id="2" xr3:uid="{00000000-0010-0000-0000-000002000000}" name="revenue"/>
    <tableColumn id="3" xr3:uid="{00000000-0010-0000-0000-000003000000}" name="cost_of_sales"/>
    <tableColumn id="4" xr3:uid="{00000000-0010-0000-0000-000004000000}" name="gross_profit"/>
    <tableColumn id="5" xr3:uid="{00000000-0010-0000-0000-000005000000}" name="sales_profit"/>
    <tableColumn id="6" xr3:uid="{00000000-0010-0000-0000-000006000000}" name="profit_before_tax"/>
    <tableColumn id="7" xr3:uid="{00000000-0010-0000-0000-000007000000}" name="net_profit"/>
    <tableColumn id="8" xr3:uid="{00000000-0010-0000-0000-000008000000}" name="total_assets"/>
    <tableColumn id="9" xr3:uid="{00000000-0010-0000-0000-000009000000}" name="non_current_assets"/>
    <tableColumn id="10" xr3:uid="{00000000-0010-0000-0000-00000A000000}" name="current_assets"/>
    <tableColumn id="11" xr3:uid="{00000000-0010-0000-0000-00000B000000}" name="equity"/>
    <tableColumn id="12" xr3:uid="{00000000-0010-0000-0000-00000C000000}" name="long_term_liabilities"/>
    <tableColumn id="13" xr3:uid="{00000000-0010-0000-0000-00000D000000}" name="short_term_liabilities"/>
    <tableColumn id="14" xr3:uid="{00000000-0010-0000-0000-00000E000000}" name="cash"/>
    <tableColumn id="15" xr3:uid="{00000000-0010-0000-0000-00000F000000}" name="receivables"/>
    <tableColumn id="16" xr3:uid="{00000000-0010-0000-0000-000010000000}" name="payab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financial" displayName="financial" ref="A1:E277">
  <autoFilter ref="A1:E277" xr:uid="{00000000-0009-0000-0100-000008000000}"/>
  <tableColumns count="5">
    <tableColumn id="1" xr3:uid="{00000000-0010-0000-0100-000001000000}" name="line_name"/>
    <tableColumn id="2" xr3:uid="{00000000-0010-0000-0100-000002000000}" name="line_code"/>
    <tableColumn id="3" xr3:uid="{00000000-0010-0000-0100-000003000000}" name="year"/>
    <tableColumn id="4" xr3:uid="{00000000-0010-0000-0100-000004000000}" name="value"/>
    <tableColumn id="5" xr3:uid="{00000000-0010-0000-0100-000005000000}" name="statement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lean_balance_2020_2025" displayName="clean_balance_2020_2025" ref="A1:E169">
  <autoFilter ref="A1:E169" xr:uid="{00000000-0009-0000-0100-000002000000}"/>
  <tableColumns count="5">
    <tableColumn id="1" xr3:uid="{00000000-0010-0000-0200-000001000000}" name="line_name"/>
    <tableColumn id="2" xr3:uid="{00000000-0010-0000-0200-000002000000}" name="line_code"/>
    <tableColumn id="3" xr3:uid="{00000000-0010-0000-0200-000003000000}" name="year"/>
    <tableColumn id="4" xr3:uid="{00000000-0010-0000-0200-000004000000}" name="value"/>
    <tableColumn id="5" xr3:uid="{00000000-0010-0000-0200-000005000000}" name="statement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clean_income_statement_2020_2025" displayName="clean_income_statement_2020_2025" ref="A1:E109">
  <autoFilter ref="A1:E109" xr:uid="{00000000-0009-0000-0100-000005000000}"/>
  <tableColumns count="5">
    <tableColumn id="1" xr3:uid="{00000000-0010-0000-0300-000001000000}" name="line_name"/>
    <tableColumn id="2" xr3:uid="{00000000-0010-0000-0300-000002000000}" name="line_code"/>
    <tableColumn id="3" xr3:uid="{00000000-0010-0000-0300-000003000000}" name="year"/>
    <tableColumn id="4" xr3:uid="{00000000-0010-0000-0300-000004000000}" name="value"/>
    <tableColumn id="5" xr3:uid="{00000000-0010-0000-0300-000005000000}" name="statement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_2023_2025" displayName="_2023_2025" ref="A1:E85">
  <autoFilter ref="A1:E85" xr:uid="{00000000-0009-0000-0100-000003000000}"/>
  <tableColumns count="5">
    <tableColumn id="1" xr3:uid="{00000000-0010-0000-0400-000001000000}" name="line_name"/>
    <tableColumn id="2" xr3:uid="{00000000-0010-0000-0400-000002000000}" name="line_code"/>
    <tableColumn id="3" xr3:uid="{00000000-0010-0000-0400-000003000000}" name="year"/>
    <tableColumn id="4" xr3:uid="{00000000-0010-0000-0400-000004000000}" name="value"/>
    <tableColumn id="5" xr3:uid="{00000000-0010-0000-0400-000005000000}" name="statemen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_2020_2022" displayName="_2020_2022" ref="A1:E85">
  <autoFilter ref="A1:E85" xr:uid="{00000000-0009-0000-0100-000001000000}"/>
  <tableColumns count="5">
    <tableColumn id="1" xr3:uid="{00000000-0010-0000-0500-000001000000}" name="line_name"/>
    <tableColumn id="2" xr3:uid="{00000000-0010-0000-0500-000002000000}" name="line_code"/>
    <tableColumn id="3" xr3:uid="{00000000-0010-0000-0500-000003000000}" name="year"/>
    <tableColumn id="4" xr3:uid="{00000000-0010-0000-0500-000004000000}" name="value"/>
    <tableColumn id="5" xr3:uid="{00000000-0010-0000-0500-000005000000}" name="statement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офр_24_25" displayName="офр_24_25" ref="A1:E37">
  <autoFilter ref="A1:E37" xr:uid="{00000000-0009-0000-0100-000007000000}"/>
  <tableColumns count="5">
    <tableColumn id="1" xr3:uid="{00000000-0010-0000-0600-000001000000}" name="line_name"/>
    <tableColumn id="2" xr3:uid="{00000000-0010-0000-0600-000002000000}" name="line_code"/>
    <tableColumn id="3" xr3:uid="{00000000-0010-0000-0600-000003000000}" name="year"/>
    <tableColumn id="4" xr3:uid="{00000000-0010-0000-0600-000004000000}" name="value"/>
    <tableColumn id="5" xr3:uid="{00000000-0010-0000-0600-000005000000}" name="statement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офр_22_23" displayName="офр_22_23" ref="A1:E37">
  <autoFilter ref="A1:E37" xr:uid="{00000000-0009-0000-0100-000006000000}"/>
  <tableColumns count="5">
    <tableColumn id="1" xr3:uid="{00000000-0010-0000-0700-000001000000}" name="line_name"/>
    <tableColumn id="2" xr3:uid="{00000000-0010-0000-0700-000002000000}" name="line_code"/>
    <tableColumn id="3" xr3:uid="{00000000-0010-0000-0700-000003000000}" name="year"/>
    <tableColumn id="4" xr3:uid="{00000000-0010-0000-0700-000004000000}" name="value"/>
    <tableColumn id="5" xr3:uid="{00000000-0010-0000-0700-000005000000}" name="statement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офр_20_21" displayName="офр_20_21" ref="A1:E37">
  <autoFilter ref="A1:E37" xr:uid="{00000000-0009-0000-0100-000004000000}"/>
  <tableColumns count="5">
    <tableColumn id="1" xr3:uid="{00000000-0010-0000-0800-000001000000}" name="line_name"/>
    <tableColumn id="2" xr3:uid="{00000000-0010-0000-0800-000002000000}" name="line_code"/>
    <tableColumn id="3" xr3:uid="{00000000-0010-0000-0800-000003000000}" name="year"/>
    <tableColumn id="4" xr3:uid="{00000000-0010-0000-0800-000004000000}" name="value"/>
    <tableColumn id="5" xr3:uid="{00000000-0010-0000-0800-000005000000}" name="statem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workbookViewId="0"/>
  </sheetViews>
  <sheetFormatPr defaultRowHeight="14.4" x14ac:dyDescent="0.3"/>
  <cols>
    <col min="1" max="2" width="18" customWidth="1"/>
    <col min="3" max="3" width="24" customWidth="1"/>
    <col min="4" max="11" width="18" customWidth="1"/>
    <col min="12" max="14" width="24" customWidth="1"/>
    <col min="15" max="17" width="18" customWidth="1"/>
    <col min="18" max="19" width="24" customWidth="1"/>
    <col min="20" max="21" width="18" customWidth="1"/>
    <col min="22" max="22" width="24" customWidth="1"/>
    <col min="23" max="26" width="18" customWidth="1"/>
    <col min="27" max="33" width="24" customWidth="1"/>
    <col min="34" max="34" width="20" customWidth="1"/>
    <col min="35" max="35" width="34" customWidth="1"/>
    <col min="36" max="38" width="18" customWidth="1"/>
  </cols>
  <sheetData>
    <row r="1" spans="1:38" ht="33.6" customHeight="1" x14ac:dyDescent="0.3">
      <c r="A1" s="10" t="s">
        <v>60</v>
      </c>
      <c r="B1" s="11" t="s">
        <v>34</v>
      </c>
      <c r="C1" s="11" t="s">
        <v>35</v>
      </c>
      <c r="D1" s="11" t="s">
        <v>61</v>
      </c>
      <c r="E1" s="11" t="s">
        <v>62</v>
      </c>
      <c r="F1" s="11" t="s">
        <v>63</v>
      </c>
      <c r="G1" s="11" t="s">
        <v>64</v>
      </c>
      <c r="H1" s="11" t="s">
        <v>65</v>
      </c>
      <c r="I1" s="11" t="s">
        <v>66</v>
      </c>
      <c r="J1" s="11" t="s">
        <v>67</v>
      </c>
      <c r="K1" s="11" t="s">
        <v>68</v>
      </c>
      <c r="L1" s="11" t="s">
        <v>69</v>
      </c>
      <c r="M1" s="11" t="s">
        <v>70</v>
      </c>
      <c r="N1" s="11" t="s">
        <v>71</v>
      </c>
      <c r="O1" s="11" t="s">
        <v>15</v>
      </c>
      <c r="P1" s="11" t="s">
        <v>28</v>
      </c>
      <c r="Q1" s="11" t="s">
        <v>13</v>
      </c>
      <c r="R1" s="11" t="s">
        <v>72</v>
      </c>
      <c r="S1" s="11" t="s">
        <v>73</v>
      </c>
      <c r="T1" s="11" t="s">
        <v>74</v>
      </c>
      <c r="U1" s="11" t="s">
        <v>75</v>
      </c>
      <c r="V1" s="11" t="s">
        <v>76</v>
      </c>
      <c r="W1" s="11" t="s">
        <v>77</v>
      </c>
      <c r="X1" s="11" t="s">
        <v>78</v>
      </c>
      <c r="Y1" s="11" t="s">
        <v>79</v>
      </c>
      <c r="Z1" s="11" t="s">
        <v>80</v>
      </c>
      <c r="AA1" s="11" t="s">
        <v>81</v>
      </c>
      <c r="AB1" s="11" t="s">
        <v>82</v>
      </c>
      <c r="AC1" s="11" t="s">
        <v>83</v>
      </c>
      <c r="AD1" s="11" t="s">
        <v>84</v>
      </c>
      <c r="AE1" s="11" t="s">
        <v>85</v>
      </c>
      <c r="AF1" s="11" t="s">
        <v>86</v>
      </c>
      <c r="AG1" s="11" t="s">
        <v>87</v>
      </c>
      <c r="AH1" s="11" t="s">
        <v>88</v>
      </c>
      <c r="AI1" s="11" t="s">
        <v>89</v>
      </c>
      <c r="AJ1" s="11" t="s">
        <v>90</v>
      </c>
      <c r="AK1" s="11" t="s">
        <v>91</v>
      </c>
      <c r="AL1" s="12" t="s">
        <v>92</v>
      </c>
    </row>
    <row r="2" spans="1:38" x14ac:dyDescent="0.3">
      <c r="A2" s="2">
        <v>2020</v>
      </c>
      <c r="B2" s="13">
        <f>SUMIFS(clean_financials_2020_2025!$D:$D,clean_financials_2020_2025!$C:$C,$A2,clean_financials_2020_2025!$B:$B,2110,clean_financials_2020_2025!$E:$E,"income_statement")</f>
        <v>2536151</v>
      </c>
      <c r="C2" s="13">
        <f>SUMIFS(clean_financials_2020_2025!$D:$D,clean_financials_2020_2025!$C:$C,$A2,clean_financials_2020_2025!$B:$B,2120,clean_financials_2020_2025!$E:$E,"income_statement")</f>
        <v>-794444</v>
      </c>
      <c r="D2" s="13">
        <f>SUMIFS(clean_financials_2020_2025!$D:$D,clean_financials_2020_2025!$C:$C,$A2,clean_financials_2020_2025!$B:$B,2100,clean_financials_2020_2025!$E:$E,"income_statement")</f>
        <v>1741707</v>
      </c>
      <c r="E2" s="13">
        <f>SUMIFS(clean_financials_2020_2025!$D:$D,clean_financials_2020_2025!$C:$C,$A2,clean_financials_2020_2025!$B:$B,2200,clean_financials_2020_2025!$E:$E,"income_statement")</f>
        <v>1062847</v>
      </c>
      <c r="F2" s="13">
        <f>SUMIFS(clean_financials_2020_2025!$D:$D,clean_financials_2020_2025!$C:$C,$A2,clean_financials_2020_2025!$B:$B,2300,clean_financials_2020_2025!$E:$E,"income_statement")</f>
        <v>1271085</v>
      </c>
      <c r="G2" s="13">
        <f>SUMIFS(clean_financials_2020_2025!$D:$D,clean_financials_2020_2025!$C:$C,$A2,clean_financials_2020_2025!$B:$B,2400,clean_financials_2020_2025!$E:$E,"income_statement")</f>
        <v>1031538</v>
      </c>
      <c r="H2" s="13">
        <f>SUMIFS(clean_financials_2020_2025!$D:$D,clean_financials_2020_2025!$C:$C,$A2,clean_financials_2020_2025!$B:$B,1600,clean_financials_2020_2025!$E:$E,"balance")</f>
        <v>3018985</v>
      </c>
      <c r="I2" s="13">
        <f>SUMIFS(clean_financials_2020_2025!$D:$D,clean_financials_2020_2025!$C:$C,$A2,clean_financials_2020_2025!$B:$B,1100,clean_financials_2020_2025!$E:$E,"balance")</f>
        <v>268300</v>
      </c>
      <c r="J2" s="13">
        <f>SUMIFS(clean_financials_2020_2025!$D:$D,clean_financials_2020_2025!$C:$C,$A2,clean_financials_2020_2025!$B:$B,1200,clean_financials_2020_2025!$E:$E,"balance")</f>
        <v>2750685</v>
      </c>
      <c r="K2" s="13">
        <f>SUMIFS(clean_financials_2020_2025!$D:$D,clean_financials_2020_2025!$C:$C,$A2,clean_financials_2020_2025!$B:$B,1300,clean_financials_2020_2025!$E:$E,"balance")</f>
        <v>2957634</v>
      </c>
      <c r="L2" s="13">
        <f>SUMIFS(clean_financials_2020_2025!$D:$D,clean_financials_2020_2025!$C:$C,$A2,clean_financials_2020_2025!$B:$B,1400,clean_financials_2020_2025!$E:$E,"balance")</f>
        <v>230</v>
      </c>
      <c r="M2" s="13">
        <f>SUMIFS(clean_financials_2020_2025!$D:$D,clean_financials_2020_2025!$C:$C,$A2,clean_financials_2020_2025!$B:$B,1500,clean_financials_2020_2025!$E:$E,"balance")</f>
        <v>61121</v>
      </c>
      <c r="N2" s="13">
        <f>SUMIFS(clean_financials_2020_2025!$D:$D,clean_financials_2020_2025!$C:$C,$A2,clean_financials_2020_2025!$B:$B,1250,clean_financials_2020_2025!$E:$E,"balance")</f>
        <v>1302369</v>
      </c>
      <c r="O2" s="13">
        <f>SUMIFS(clean_financials_2020_2025!$D:$D,clean_financials_2020_2025!$C:$C,$A2,clean_financials_2020_2025!$B:$B,1230,clean_financials_2020_2025!$E:$E,"balance")</f>
        <v>259411</v>
      </c>
      <c r="P2" s="13">
        <f>SUMIFS(clean_financials_2020_2025!$D:$D,clean_financials_2020_2025!$C:$C,$A2,clean_financials_2020_2025!$B:$B,1520,clean_financials_2020_2025!$E:$E,"balance")</f>
        <v>31177</v>
      </c>
      <c r="Q2" s="13">
        <f>SUMIFS(clean_financials_2020_2025!$D:$D,clean_financials_2020_2025!$C:$C,$A2,clean_financials_2020_2025!$B:$B,1210,clean_financials_2020_2025!$E:$E,"balance")</f>
        <v>425</v>
      </c>
      <c r="R2" s="13">
        <f t="shared" ref="R2:R7" si="0">L2+M2</f>
        <v>61351</v>
      </c>
      <c r="S2" s="13">
        <f t="shared" ref="S2:S7" si="1">J2-M2</f>
        <v>2689564</v>
      </c>
      <c r="T2" s="13" t="str">
        <f>""</f>
        <v/>
      </c>
      <c r="U2" s="13" t="str">
        <f>""</f>
        <v/>
      </c>
      <c r="V2" s="13" t="str">
        <f>""</f>
        <v/>
      </c>
      <c r="W2" s="4">
        <f t="shared" ref="W2:W7" si="2">IFERROR(D2/B2,"")</f>
        <v>0.6867520900766555</v>
      </c>
      <c r="X2" s="4">
        <f t="shared" ref="X2:X7" si="3">IFERROR(E2/B2,"")</f>
        <v>0.41907875359156455</v>
      </c>
      <c r="Y2" s="4">
        <f t="shared" ref="Y2:Y7" si="4">IFERROR(G2/B2,"")</f>
        <v>0.40673366846059245</v>
      </c>
      <c r="Z2" s="4" t="str">
        <f>""</f>
        <v/>
      </c>
      <c r="AA2" s="4" t="str">
        <f>""</f>
        <v/>
      </c>
      <c r="AB2" s="6">
        <f t="shared" ref="AB2:AB7" si="5">IFERROR(J2/M2,"")</f>
        <v>45.003926637325961</v>
      </c>
      <c r="AC2" s="6">
        <f t="shared" ref="AC2:AC7" si="6">IFERROR((J2-Q2)/M2,"")</f>
        <v>44.996973217061239</v>
      </c>
      <c r="AD2" s="6">
        <f t="shared" ref="AD2:AD7" si="7">IFERROR(N2/M2,"")</f>
        <v>21.308044698221561</v>
      </c>
      <c r="AE2" s="4">
        <f t="shared" ref="AE2:AE7" si="8">IFERROR(K2/H2,"")</f>
        <v>0.97967826935211666</v>
      </c>
      <c r="AF2" s="6">
        <f t="shared" ref="AF2:AF7" si="9">IFERROR(R2/K2,"")</f>
        <v>2.0743269789297795E-2</v>
      </c>
      <c r="AG2" s="4">
        <f t="shared" ref="AG2:AG7" si="10">IFERROR(R2/H2,"")</f>
        <v>2.0321730647883313E-2</v>
      </c>
      <c r="AH2" s="6" t="str">
        <f>""</f>
        <v/>
      </c>
      <c r="AI2" s="15" t="str">
        <f>""</f>
        <v/>
      </c>
      <c r="AJ2" s="4" t="str">
        <f>""</f>
        <v/>
      </c>
      <c r="AK2" s="4" t="str">
        <f>""</f>
        <v/>
      </c>
      <c r="AL2" s="8" t="str">
        <f>""</f>
        <v/>
      </c>
    </row>
    <row r="3" spans="1:38" x14ac:dyDescent="0.3">
      <c r="A3" s="2">
        <v>2021</v>
      </c>
      <c r="B3" s="13">
        <f>SUMIFS(clean_financials_2020_2025!$D:$D,clean_financials_2020_2025!$C:$C,$A3,clean_financials_2020_2025!$B:$B,2110,clean_financials_2020_2025!$E:$E,"income_statement")</f>
        <v>2532640</v>
      </c>
      <c r="C3" s="13">
        <f>SUMIFS(clean_financials_2020_2025!$D:$D,clean_financials_2020_2025!$C:$C,$A3,clean_financials_2020_2025!$B:$B,2120,clean_financials_2020_2025!$E:$E,"income_statement")</f>
        <v>-650710</v>
      </c>
      <c r="D3" s="13">
        <f>SUMIFS(clean_financials_2020_2025!$D:$D,clean_financials_2020_2025!$C:$C,$A3,clean_financials_2020_2025!$B:$B,2100,clean_financials_2020_2025!$E:$E,"income_statement")</f>
        <v>1881930</v>
      </c>
      <c r="E3" s="13">
        <f>SUMIFS(clean_financials_2020_2025!$D:$D,clean_financials_2020_2025!$C:$C,$A3,clean_financials_2020_2025!$B:$B,2200,clean_financials_2020_2025!$E:$E,"income_statement")</f>
        <v>977340</v>
      </c>
      <c r="F3" s="13">
        <f>SUMIFS(clean_financials_2020_2025!$D:$D,clean_financials_2020_2025!$C:$C,$A3,clean_financials_2020_2025!$B:$B,2300,clean_financials_2020_2025!$E:$E,"income_statement")</f>
        <v>1083067</v>
      </c>
      <c r="G3" s="13">
        <f>SUMIFS(clean_financials_2020_2025!$D:$D,clean_financials_2020_2025!$C:$C,$A3,clean_financials_2020_2025!$B:$B,2400,clean_financials_2020_2025!$E:$E,"income_statement")</f>
        <v>1033647</v>
      </c>
      <c r="H3" s="13">
        <f>SUMIFS(clean_financials_2020_2025!$D:$D,clean_financials_2020_2025!$C:$C,$A3,clean_financials_2020_2025!$B:$B,1600,clean_financials_2020_2025!$E:$E,"balance")</f>
        <v>4445733</v>
      </c>
      <c r="I3" s="13">
        <f>SUMIFS(clean_financials_2020_2025!$D:$D,clean_financials_2020_2025!$C:$C,$A3,clean_financials_2020_2025!$B:$B,1100,clean_financials_2020_2025!$E:$E,"balance")</f>
        <v>343275</v>
      </c>
      <c r="J3" s="13">
        <f>SUMIFS(clean_financials_2020_2025!$D:$D,clean_financials_2020_2025!$C:$C,$A3,clean_financials_2020_2025!$B:$B,1200,clean_financials_2020_2025!$E:$E,"balance")</f>
        <v>4102458</v>
      </c>
      <c r="K3" s="13">
        <f>SUMIFS(clean_financials_2020_2025!$D:$D,clean_financials_2020_2025!$C:$C,$A3,clean_financials_2020_2025!$B:$B,1300,clean_financials_2020_2025!$E:$E,"balance")</f>
        <v>3975662</v>
      </c>
      <c r="L3" s="13">
        <f>SUMIFS(clean_financials_2020_2025!$D:$D,clean_financials_2020_2025!$C:$C,$A3,clean_financials_2020_2025!$B:$B,1400,clean_financials_2020_2025!$E:$E,"balance")</f>
        <v>153735</v>
      </c>
      <c r="M3" s="13">
        <f>SUMIFS(clean_financials_2020_2025!$D:$D,clean_financials_2020_2025!$C:$C,$A3,clean_financials_2020_2025!$B:$B,1500,clean_financials_2020_2025!$E:$E,"balance")</f>
        <v>316336</v>
      </c>
      <c r="N3" s="13">
        <f>SUMIFS(clean_financials_2020_2025!$D:$D,clean_financials_2020_2025!$C:$C,$A3,clean_financials_2020_2025!$B:$B,1250,clean_financials_2020_2025!$E:$E,"balance")</f>
        <v>2484861</v>
      </c>
      <c r="O3" s="13">
        <f>SUMIFS(clean_financials_2020_2025!$D:$D,clean_financials_2020_2025!$C:$C,$A3,clean_financials_2020_2025!$B:$B,1230,clean_financials_2020_2025!$E:$E,"balance")</f>
        <v>626083</v>
      </c>
      <c r="P3" s="13">
        <f>SUMIFS(clean_financials_2020_2025!$D:$D,clean_financials_2020_2025!$C:$C,$A3,clean_financials_2020_2025!$B:$B,1520,clean_financials_2020_2025!$E:$E,"balance")</f>
        <v>286098</v>
      </c>
      <c r="Q3" s="13">
        <f>SUMIFS(clean_financials_2020_2025!$D:$D,clean_financials_2020_2025!$C:$C,$A3,clean_financials_2020_2025!$B:$B,1210,clean_financials_2020_2025!$E:$E,"balance")</f>
        <v>31</v>
      </c>
      <c r="R3" s="13">
        <f t="shared" si="0"/>
        <v>470071</v>
      </c>
      <c r="S3" s="13">
        <f t="shared" si="1"/>
        <v>3786122</v>
      </c>
      <c r="T3" s="13">
        <f>(H3+H2)/2</f>
        <v>3732359</v>
      </c>
      <c r="U3" s="13">
        <f>(K3+K2)/2</f>
        <v>3466648</v>
      </c>
      <c r="V3" s="13">
        <f>(O3+O2)/2</f>
        <v>442747</v>
      </c>
      <c r="W3" s="4">
        <f t="shared" si="2"/>
        <v>0.7430704719186304</v>
      </c>
      <c r="X3" s="4">
        <f t="shared" si="3"/>
        <v>0.38589771937582917</v>
      </c>
      <c r="Y3" s="4">
        <f t="shared" si="4"/>
        <v>0.40813025143723547</v>
      </c>
      <c r="Z3" s="4">
        <f>IFERROR(G3/T3,"")</f>
        <v>0.27694200906182925</v>
      </c>
      <c r="AA3" s="4">
        <f>IFERROR(G3/U3,"")</f>
        <v>0.29816900937158891</v>
      </c>
      <c r="AB3" s="6">
        <f t="shared" si="5"/>
        <v>12.968672550705579</v>
      </c>
      <c r="AC3" s="6">
        <f t="shared" si="6"/>
        <v>12.968574553639169</v>
      </c>
      <c r="AD3" s="6">
        <f t="shared" si="7"/>
        <v>7.855131885084214</v>
      </c>
      <c r="AE3" s="4">
        <f t="shared" si="8"/>
        <v>0.89426468031256034</v>
      </c>
      <c r="AF3" s="6">
        <f t="shared" si="9"/>
        <v>0.11823716402450711</v>
      </c>
      <c r="AG3" s="4">
        <f t="shared" si="10"/>
        <v>0.10573531968743961</v>
      </c>
      <c r="AH3" s="6">
        <f>IFERROR(B3/T3,"")</f>
        <v>0.67856280706116423</v>
      </c>
      <c r="AI3" s="15">
        <f>IFERROR(V3/B3*365,"")</f>
        <v>63.807984948512221</v>
      </c>
      <c r="AJ3" s="4">
        <f>IFERROR(B3/B2-1,"")</f>
        <v>-1.3843812927543109E-3</v>
      </c>
      <c r="AK3" s="4">
        <f t="shared" ref="AK3:AL7" si="11">IFERROR(G3/G2-1,"")</f>
        <v>2.0445199304339745E-3</v>
      </c>
      <c r="AL3" s="8">
        <f t="shared" si="11"/>
        <v>0.47259194729354403</v>
      </c>
    </row>
    <row r="4" spans="1:38" x14ac:dyDescent="0.3">
      <c r="A4" s="2">
        <v>2022</v>
      </c>
      <c r="B4" s="13">
        <f>SUMIFS(clean_financials_2020_2025!$D:$D,clean_financials_2020_2025!$C:$C,$A4,clean_financials_2020_2025!$B:$B,2110,clean_financials_2020_2025!$E:$E,"income_statement")</f>
        <v>2541046</v>
      </c>
      <c r="C4" s="13">
        <f>SUMIFS(clean_financials_2020_2025!$D:$D,clean_financials_2020_2025!$C:$C,$A4,clean_financials_2020_2025!$B:$B,2120,clean_financials_2020_2025!$E:$E,"income_statement")</f>
        <v>-521123</v>
      </c>
      <c r="D4" s="13">
        <f>SUMIFS(clean_financials_2020_2025!$D:$D,clean_financials_2020_2025!$C:$C,$A4,clean_financials_2020_2025!$B:$B,2100,clean_financials_2020_2025!$E:$E,"income_statement")</f>
        <v>2019923</v>
      </c>
      <c r="E4" s="13">
        <f>SUMIFS(clean_financials_2020_2025!$D:$D,clean_financials_2020_2025!$C:$C,$A4,clean_financials_2020_2025!$B:$B,2200,clean_financials_2020_2025!$E:$E,"income_statement")</f>
        <v>770995</v>
      </c>
      <c r="F4" s="13">
        <f>SUMIFS(clean_financials_2020_2025!$D:$D,clean_financials_2020_2025!$C:$C,$A4,clean_financials_2020_2025!$B:$B,2300,clean_financials_2020_2025!$E:$E,"income_statement")</f>
        <v>126902</v>
      </c>
      <c r="G4" s="13">
        <f>SUMIFS(clean_financials_2020_2025!$D:$D,clean_financials_2020_2025!$C:$C,$A4,clean_financials_2020_2025!$B:$B,2400,clean_financials_2020_2025!$E:$E,"income_statement")</f>
        <v>-427987</v>
      </c>
      <c r="H4" s="13">
        <f>SUMIFS(clean_financials_2020_2025!$D:$D,clean_financials_2020_2025!$C:$C,$A4,clean_financials_2020_2025!$B:$B,1600,clean_financials_2020_2025!$E:$E,"balance")</f>
        <v>3969858</v>
      </c>
      <c r="I4" s="13">
        <f>SUMIFS(clean_financials_2020_2025!$D:$D,clean_financials_2020_2025!$C:$C,$A4,clean_financials_2020_2025!$B:$B,1100,clean_financials_2020_2025!$E:$E,"balance")</f>
        <v>288795</v>
      </c>
      <c r="J4" s="13">
        <f>SUMIFS(clean_financials_2020_2025!$D:$D,clean_financials_2020_2025!$C:$C,$A4,clean_financials_2020_2025!$B:$B,1200,clean_financials_2020_2025!$E:$E,"balance")</f>
        <v>3681063</v>
      </c>
      <c r="K4" s="13">
        <f>SUMIFS(clean_financials_2020_2025!$D:$D,clean_financials_2020_2025!$C:$C,$A4,clean_financials_2020_2025!$B:$B,1300,clean_financials_2020_2025!$E:$E,"balance")</f>
        <v>3557540</v>
      </c>
      <c r="L4" s="13">
        <f>SUMIFS(clean_financials_2020_2025!$D:$D,clean_financials_2020_2025!$C:$C,$A4,clean_financials_2020_2025!$B:$B,1400,clean_financials_2020_2025!$E:$E,"balance")</f>
        <v>132813</v>
      </c>
      <c r="M4" s="13">
        <f>SUMIFS(clean_financials_2020_2025!$D:$D,clean_financials_2020_2025!$C:$C,$A4,clean_financials_2020_2025!$B:$B,1500,clean_financials_2020_2025!$E:$E,"balance")</f>
        <v>279505</v>
      </c>
      <c r="N4" s="13">
        <f>SUMIFS(clean_financials_2020_2025!$D:$D,clean_financials_2020_2025!$C:$C,$A4,clean_financials_2020_2025!$B:$B,1250,clean_financials_2020_2025!$E:$E,"balance")</f>
        <v>1034196</v>
      </c>
      <c r="O4" s="13">
        <f>SUMIFS(clean_financials_2020_2025!$D:$D,clean_financials_2020_2025!$C:$C,$A4,clean_financials_2020_2025!$B:$B,1230,clean_financials_2020_2025!$E:$E,"balance")</f>
        <v>1553374</v>
      </c>
      <c r="P4" s="13">
        <f>SUMIFS(clean_financials_2020_2025!$D:$D,clean_financials_2020_2025!$C:$C,$A4,clean_financials_2020_2025!$B:$B,1520,clean_financials_2020_2025!$E:$E,"balance")</f>
        <v>237311</v>
      </c>
      <c r="Q4" s="13">
        <f>SUMIFS(clean_financials_2020_2025!$D:$D,clean_financials_2020_2025!$C:$C,$A4,clean_financials_2020_2025!$B:$B,1210,clean_financials_2020_2025!$E:$E,"balance")</f>
        <v>2936</v>
      </c>
      <c r="R4" s="13">
        <f t="shared" si="0"/>
        <v>412318</v>
      </c>
      <c r="S4" s="13">
        <f t="shared" si="1"/>
        <v>3401558</v>
      </c>
      <c r="T4" s="13">
        <f>(H4+H3)/2</f>
        <v>4207795.5</v>
      </c>
      <c r="U4" s="13">
        <f>(K4+K3)/2</f>
        <v>3766601</v>
      </c>
      <c r="V4" s="13">
        <f>(O4+O3)/2</f>
        <v>1089728.5</v>
      </c>
      <c r="W4" s="4">
        <f t="shared" si="2"/>
        <v>0.79491791962837355</v>
      </c>
      <c r="X4" s="4">
        <f t="shared" si="3"/>
        <v>0.30341638836919915</v>
      </c>
      <c r="Y4" s="4">
        <f t="shared" si="4"/>
        <v>-0.16842945779021709</v>
      </c>
      <c r="Z4" s="4">
        <f>IFERROR(G4/T4,"")</f>
        <v>-0.10171288029563223</v>
      </c>
      <c r="AA4" s="4">
        <f>IFERROR(G4/U4,"")</f>
        <v>-0.11362684818487544</v>
      </c>
      <c r="AB4" s="6">
        <f t="shared" si="5"/>
        <v>13.169936137099516</v>
      </c>
      <c r="AC4" s="6">
        <f t="shared" si="6"/>
        <v>13.159431852739665</v>
      </c>
      <c r="AD4" s="6">
        <f t="shared" si="7"/>
        <v>3.7000983882220355</v>
      </c>
      <c r="AE4" s="4">
        <f t="shared" si="8"/>
        <v>0.89613784674414043</v>
      </c>
      <c r="AF4" s="6">
        <f t="shared" si="9"/>
        <v>0.11589975095150019</v>
      </c>
      <c r="AG4" s="4">
        <f t="shared" si="10"/>
        <v>0.10386215325585953</v>
      </c>
      <c r="AH4" s="6">
        <f>IFERROR(B4/T4,"")</f>
        <v>0.60389008924031595</v>
      </c>
      <c r="AI4" s="15">
        <f>IFERROR(V4/B4*365,"")</f>
        <v>156.53038256686418</v>
      </c>
      <c r="AJ4" s="4">
        <f>IFERROR(B4/B3-1,"")</f>
        <v>3.3190662707689444E-3</v>
      </c>
      <c r="AK4" s="4">
        <f t="shared" si="11"/>
        <v>-1.4140552819289369</v>
      </c>
      <c r="AL4" s="8">
        <f t="shared" si="11"/>
        <v>-0.10704084118411972</v>
      </c>
    </row>
    <row r="5" spans="1:38" x14ac:dyDescent="0.3">
      <c r="A5" s="2">
        <v>2023</v>
      </c>
      <c r="B5" s="13">
        <f>SUMIFS(clean_financials_2020_2025!$D:$D,clean_financials_2020_2025!$C:$C,$A5,clean_financials_2020_2025!$B:$B,2110,clean_financials_2020_2025!$E:$E,"income_statement")</f>
        <v>3123853</v>
      </c>
      <c r="C5" s="13">
        <f>SUMIFS(clean_financials_2020_2025!$D:$D,clean_financials_2020_2025!$C:$C,$A5,clean_financials_2020_2025!$B:$B,2120,clean_financials_2020_2025!$E:$E,"income_statement")</f>
        <v>-260366</v>
      </c>
      <c r="D5" s="13">
        <f>SUMIFS(clean_financials_2020_2025!$D:$D,clean_financials_2020_2025!$C:$C,$A5,clean_financials_2020_2025!$B:$B,2100,clean_financials_2020_2025!$E:$E,"income_statement")</f>
        <v>2863487</v>
      </c>
      <c r="E5" s="13">
        <f>SUMIFS(clean_financials_2020_2025!$D:$D,clean_financials_2020_2025!$C:$C,$A5,clean_financials_2020_2025!$B:$B,2200,clean_financials_2020_2025!$E:$E,"income_statement")</f>
        <v>736690</v>
      </c>
      <c r="F5" s="13">
        <f>SUMIFS(clean_financials_2020_2025!$D:$D,clean_financials_2020_2025!$C:$C,$A5,clean_financials_2020_2025!$B:$B,2300,clean_financials_2020_2025!$E:$E,"income_statement")</f>
        <v>938020</v>
      </c>
      <c r="G5" s="13">
        <f>SUMIFS(clean_financials_2020_2025!$D:$D,clean_financials_2020_2025!$C:$C,$A5,clean_financials_2020_2025!$B:$B,2400,clean_financials_2020_2025!$E:$E,"income_statement")</f>
        <v>762196</v>
      </c>
      <c r="H5" s="13">
        <f>SUMIFS(clean_financials_2020_2025!$D:$D,clean_financials_2020_2025!$C:$C,$A5,clean_financials_2020_2025!$B:$B,1600,clean_financials_2020_2025!$E:$E,"balance")</f>
        <v>3983498</v>
      </c>
      <c r="I5" s="13">
        <f>SUMIFS(clean_financials_2020_2025!$D:$D,clean_financials_2020_2025!$C:$C,$A5,clean_financials_2020_2025!$B:$B,1100,clean_financials_2020_2025!$E:$E,"balance")</f>
        <v>743254</v>
      </c>
      <c r="J5" s="13">
        <f>SUMIFS(clean_financials_2020_2025!$D:$D,clean_financials_2020_2025!$C:$C,$A5,clean_financials_2020_2025!$B:$B,1200,clean_financials_2020_2025!$E:$E,"balance")</f>
        <v>3240244</v>
      </c>
      <c r="K5" s="13">
        <f>SUMIFS(clean_financials_2020_2025!$D:$D,clean_financials_2020_2025!$C:$C,$A5,clean_financials_2020_2025!$B:$B,1300,clean_financials_2020_2025!$E:$E,"balance")</f>
        <v>3144989</v>
      </c>
      <c r="L5" s="13">
        <f>SUMIFS(clean_financials_2020_2025!$D:$D,clean_financials_2020_2025!$C:$C,$A5,clean_financials_2020_2025!$B:$B,1400,clean_financials_2020_2025!$E:$E,"balance")</f>
        <v>590089</v>
      </c>
      <c r="M5" s="13">
        <f>SUMIFS(clean_financials_2020_2025!$D:$D,clean_financials_2020_2025!$C:$C,$A5,clean_financials_2020_2025!$B:$B,1500,clean_financials_2020_2025!$E:$E,"balance")</f>
        <v>248420</v>
      </c>
      <c r="N5" s="13">
        <f>SUMIFS(clean_financials_2020_2025!$D:$D,clean_financials_2020_2025!$C:$C,$A5,clean_financials_2020_2025!$B:$B,1250,clean_financials_2020_2025!$E:$E,"balance")</f>
        <v>42327</v>
      </c>
      <c r="O5" s="13">
        <f>SUMIFS(clean_financials_2020_2025!$D:$D,clean_financials_2020_2025!$C:$C,$A5,clean_financials_2020_2025!$B:$B,1230,clean_financials_2020_2025!$E:$E,"balance")</f>
        <v>2333028</v>
      </c>
      <c r="P5" s="13">
        <f>SUMIFS(clean_financials_2020_2025!$D:$D,clean_financials_2020_2025!$C:$C,$A5,clean_financials_2020_2025!$B:$B,1520,clean_financials_2020_2025!$E:$E,"balance")</f>
        <v>190284</v>
      </c>
      <c r="Q5" s="13">
        <f>SUMIFS(clean_financials_2020_2025!$D:$D,clean_financials_2020_2025!$C:$C,$A5,clean_financials_2020_2025!$B:$B,1210,clean_financials_2020_2025!$E:$E,"balance")</f>
        <v>2238</v>
      </c>
      <c r="R5" s="13">
        <f t="shared" si="0"/>
        <v>838509</v>
      </c>
      <c r="S5" s="13">
        <f t="shared" si="1"/>
        <v>2991824</v>
      </c>
      <c r="T5" s="13">
        <f>(H5+H4)/2</f>
        <v>3976678</v>
      </c>
      <c r="U5" s="13">
        <f>(K5+K4)/2</f>
        <v>3351264.5</v>
      </c>
      <c r="V5" s="13">
        <f>(O5+O4)/2</f>
        <v>1943201</v>
      </c>
      <c r="W5" s="4">
        <f t="shared" si="2"/>
        <v>0.91665228805580801</v>
      </c>
      <c r="X5" s="4">
        <f t="shared" si="3"/>
        <v>0.2358273580735073</v>
      </c>
      <c r="Y5" s="4">
        <f t="shared" si="4"/>
        <v>0.24399227492458833</v>
      </c>
      <c r="Z5" s="4">
        <f>IFERROR(G5/T5,"")</f>
        <v>0.19166651159585965</v>
      </c>
      <c r="AA5" s="4">
        <f>IFERROR(G5/U5,"")</f>
        <v>0.22743534567325258</v>
      </c>
      <c r="AB5" s="6">
        <f t="shared" si="5"/>
        <v>13.043410353433702</v>
      </c>
      <c r="AC5" s="6">
        <f t="shared" si="6"/>
        <v>13.034401416955157</v>
      </c>
      <c r="AD5" s="6">
        <f t="shared" si="7"/>
        <v>0.17038483213911923</v>
      </c>
      <c r="AE5" s="4">
        <f t="shared" si="8"/>
        <v>0.78950435019673659</v>
      </c>
      <c r="AF5" s="6">
        <f t="shared" si="9"/>
        <v>0.26661746670656084</v>
      </c>
      <c r="AG5" s="4">
        <f t="shared" si="10"/>
        <v>0.21049564980326335</v>
      </c>
      <c r="AH5" s="6">
        <f>IFERROR(B5/T5,"")</f>
        <v>0.78554336056376706</v>
      </c>
      <c r="AI5" s="15">
        <f>IFERROR(V5/B5*365,"")</f>
        <v>227.04921294311865</v>
      </c>
      <c r="AJ5" s="4">
        <f>IFERROR(B5/B4-1,"")</f>
        <v>0.2293571230115472</v>
      </c>
      <c r="AK5" s="4">
        <f t="shared" si="11"/>
        <v>-2.7808858680287019</v>
      </c>
      <c r="AL5" s="8">
        <f t="shared" si="11"/>
        <v>3.435891157819837E-3</v>
      </c>
    </row>
    <row r="6" spans="1:38" x14ac:dyDescent="0.3">
      <c r="A6" s="2">
        <v>2024</v>
      </c>
      <c r="B6" s="13">
        <f>SUMIFS(clean_financials_2020_2025!$D:$D,clean_financials_2020_2025!$C:$C,$A6,clean_financials_2020_2025!$B:$B,2110,clean_financials_2020_2025!$E:$E,"income_statement")</f>
        <v>3520647</v>
      </c>
      <c r="C6" s="13">
        <f>SUMIFS(clean_financials_2020_2025!$D:$D,clean_financials_2020_2025!$C:$C,$A6,clean_financials_2020_2025!$B:$B,2120,clean_financials_2020_2025!$E:$E,"income_statement")</f>
        <v>-277604</v>
      </c>
      <c r="D6" s="13">
        <f>SUMIFS(clean_financials_2020_2025!$D:$D,clean_financials_2020_2025!$C:$C,$A6,clean_financials_2020_2025!$B:$B,2100,clean_financials_2020_2025!$E:$E,"income_statement")</f>
        <v>3243043</v>
      </c>
      <c r="E6" s="13">
        <f>SUMIFS(clean_financials_2020_2025!$D:$D,clean_financials_2020_2025!$C:$C,$A6,clean_financials_2020_2025!$B:$B,2200,clean_financials_2020_2025!$E:$E,"income_statement")</f>
        <v>825793</v>
      </c>
      <c r="F6" s="13">
        <f>SUMIFS(clean_financials_2020_2025!$D:$D,clean_financials_2020_2025!$C:$C,$A6,clean_financials_2020_2025!$B:$B,2300,clean_financials_2020_2025!$E:$E,"income_statement")</f>
        <v>9618</v>
      </c>
      <c r="G6" s="13">
        <f>SUMIFS(clean_financials_2020_2025!$D:$D,clean_financials_2020_2025!$C:$C,$A6,clean_financials_2020_2025!$B:$B,2400,clean_financials_2020_2025!$E:$E,"income_statement")</f>
        <v>-155403</v>
      </c>
      <c r="H6" s="13">
        <f>SUMIFS(clean_financials_2020_2025!$D:$D,clean_financials_2020_2025!$C:$C,$A6,clean_financials_2020_2025!$B:$B,1600,clean_financials_2020_2025!$E:$E,"balance")</f>
        <v>4287479</v>
      </c>
      <c r="I6" s="13">
        <f>SUMIFS(clean_financials_2020_2025!$D:$D,clean_financials_2020_2025!$C:$C,$A6,clean_financials_2020_2025!$B:$B,1100,clean_financials_2020_2025!$E:$E,"balance")</f>
        <v>266946</v>
      </c>
      <c r="J6" s="13">
        <f>SUMIFS(clean_financials_2020_2025!$D:$D,clean_financials_2020_2025!$C:$C,$A6,clean_financials_2020_2025!$B:$B,1200,clean_financials_2020_2025!$E:$E,"balance")</f>
        <v>4020533</v>
      </c>
      <c r="K6" s="13">
        <f>SUMIFS(clean_financials_2020_2025!$D:$D,clean_financials_2020_2025!$C:$C,$A6,clean_financials_2020_2025!$B:$B,1300,clean_financials_2020_2025!$E:$E,"balance")</f>
        <v>2914586</v>
      </c>
      <c r="L6" s="13">
        <f>SUMIFS(clean_financials_2020_2025!$D:$D,clean_financials_2020_2025!$C:$C,$A6,clean_financials_2020_2025!$B:$B,1400,clean_financials_2020_2025!$E:$E,"balance")</f>
        <v>633626</v>
      </c>
      <c r="M6" s="13">
        <f>SUMIFS(clean_financials_2020_2025!$D:$D,clean_financials_2020_2025!$C:$C,$A6,clean_financials_2020_2025!$B:$B,1500,clean_financials_2020_2025!$E:$E,"balance")</f>
        <v>739267</v>
      </c>
      <c r="N6" s="13">
        <f>SUMIFS(clean_financials_2020_2025!$D:$D,clean_financials_2020_2025!$C:$C,$A6,clean_financials_2020_2025!$B:$B,1250,clean_financials_2020_2025!$E:$E,"balance")</f>
        <v>39658</v>
      </c>
      <c r="O6" s="13">
        <f>SUMIFS(clean_financials_2020_2025!$D:$D,clean_financials_2020_2025!$C:$C,$A6,clean_financials_2020_2025!$B:$B,1230,clean_financials_2020_2025!$E:$E,"balance")</f>
        <v>3273651</v>
      </c>
      <c r="P6" s="13">
        <f>SUMIFS(clean_financials_2020_2025!$D:$D,clean_financials_2020_2025!$C:$C,$A6,clean_financials_2020_2025!$B:$B,1520,clean_financials_2020_2025!$E:$E,"balance")</f>
        <v>666648</v>
      </c>
      <c r="Q6" s="13">
        <f>SUMIFS(clean_financials_2020_2025!$D:$D,clean_financials_2020_2025!$C:$C,$A6,clean_financials_2020_2025!$B:$B,1210,clean_financials_2020_2025!$E:$E,"balance")</f>
        <v>2179</v>
      </c>
      <c r="R6" s="13">
        <f t="shared" si="0"/>
        <v>1372893</v>
      </c>
      <c r="S6" s="13">
        <f t="shared" si="1"/>
        <v>3281266</v>
      </c>
      <c r="T6" s="13">
        <f>(H6+H5)/2</f>
        <v>4135488.5</v>
      </c>
      <c r="U6" s="13">
        <f>(K6+K5)/2</f>
        <v>3029787.5</v>
      </c>
      <c r="V6" s="13">
        <f>(O6+O5)/2</f>
        <v>2803339.5</v>
      </c>
      <c r="W6" s="4">
        <f t="shared" si="2"/>
        <v>0.9211497204917164</v>
      </c>
      <c r="X6" s="4">
        <f t="shared" si="3"/>
        <v>0.23455717088364725</v>
      </c>
      <c r="Y6" s="4">
        <f t="shared" si="4"/>
        <v>-4.4140466226804335E-2</v>
      </c>
      <c r="Z6" s="4">
        <f>IFERROR(G6/T6,"")</f>
        <v>-3.7577906455307515E-2</v>
      </c>
      <c r="AA6" s="4">
        <f>IFERROR(G6/U6,"")</f>
        <v>-5.1291716003185044E-2</v>
      </c>
      <c r="AB6" s="6">
        <f t="shared" si="5"/>
        <v>5.4385397968528286</v>
      </c>
      <c r="AC6" s="6">
        <f t="shared" si="6"/>
        <v>5.4355922826258984</v>
      </c>
      <c r="AD6" s="6">
        <f t="shared" si="7"/>
        <v>5.3645029468378812E-2</v>
      </c>
      <c r="AE6" s="4">
        <f t="shared" si="8"/>
        <v>0.67979015174185109</v>
      </c>
      <c r="AF6" s="6">
        <f t="shared" si="9"/>
        <v>0.47104219947532855</v>
      </c>
      <c r="AG6" s="4">
        <f t="shared" si="10"/>
        <v>0.32020984825814891</v>
      </c>
      <c r="AH6" s="6">
        <f>IFERROR(B6/T6,"")</f>
        <v>0.85132554473310706</v>
      </c>
      <c r="AI6" s="15">
        <f>IFERROR(V6/B6*365,"")</f>
        <v>290.63377200270293</v>
      </c>
      <c r="AJ6" s="4">
        <f>IFERROR(B6/B5-1,"")</f>
        <v>0.12702070167834401</v>
      </c>
      <c r="AK6" s="4">
        <f t="shared" si="11"/>
        <v>-1.2038885011204468</v>
      </c>
      <c r="AL6" s="8">
        <f t="shared" si="11"/>
        <v>7.6310067182159935E-2</v>
      </c>
    </row>
    <row r="7" spans="1:38" x14ac:dyDescent="0.3">
      <c r="A7" s="3">
        <v>2025</v>
      </c>
      <c r="B7" s="14">
        <f>SUMIFS(clean_financials_2020_2025!$D:$D,clean_financials_2020_2025!$C:$C,$A7,clean_financials_2020_2025!$B:$B,2110,clean_financials_2020_2025!$E:$E,"income_statement")</f>
        <v>3589154</v>
      </c>
      <c r="C7" s="14">
        <f>SUMIFS(clean_financials_2020_2025!$D:$D,clean_financials_2020_2025!$C:$C,$A7,clean_financials_2020_2025!$B:$B,2120,clean_financials_2020_2025!$E:$E,"income_statement")</f>
        <v>-2038969</v>
      </c>
      <c r="D7" s="14">
        <f>SUMIFS(clean_financials_2020_2025!$D:$D,clean_financials_2020_2025!$C:$C,$A7,clean_financials_2020_2025!$B:$B,2100,clean_financials_2020_2025!$E:$E,"income_statement")</f>
        <v>1550185</v>
      </c>
      <c r="E7" s="14">
        <f>SUMIFS(clean_financials_2020_2025!$D:$D,clean_financials_2020_2025!$C:$C,$A7,clean_financials_2020_2025!$B:$B,2200,clean_financials_2020_2025!$E:$E,"income_statement")</f>
        <v>591644</v>
      </c>
      <c r="F7" s="14">
        <f>SUMIFS(clean_financials_2020_2025!$D:$D,clean_financials_2020_2025!$C:$C,$A7,clean_financials_2020_2025!$B:$B,2300,clean_financials_2020_2025!$E:$E,"income_statement")</f>
        <v>247040</v>
      </c>
      <c r="G7" s="14">
        <f>SUMIFS(clean_financials_2020_2025!$D:$D,clean_financials_2020_2025!$C:$C,$A7,clean_financials_2020_2025!$B:$B,2400,clean_financials_2020_2025!$E:$E,"income_statement")</f>
        <v>-375492</v>
      </c>
      <c r="H7" s="14">
        <f>SUMIFS(clean_financials_2020_2025!$D:$D,clean_financials_2020_2025!$C:$C,$A7,clean_financials_2020_2025!$B:$B,1600,clean_financials_2020_2025!$E:$E,"balance")</f>
        <v>5948756</v>
      </c>
      <c r="I7" s="14">
        <f>SUMIFS(clean_financials_2020_2025!$D:$D,clean_financials_2020_2025!$C:$C,$A7,clean_financials_2020_2025!$B:$B,1100,clean_financials_2020_2025!$E:$E,"balance")</f>
        <v>1209200</v>
      </c>
      <c r="J7" s="14">
        <f>SUMIFS(clean_financials_2020_2025!$D:$D,clean_financials_2020_2025!$C:$C,$A7,clean_financials_2020_2025!$B:$B,1200,clean_financials_2020_2025!$E:$E,"balance")</f>
        <v>4739556</v>
      </c>
      <c r="K7" s="14">
        <f>SUMIFS(clean_financials_2020_2025!$D:$D,clean_financials_2020_2025!$C:$C,$A7,clean_financials_2020_2025!$B:$B,1300,clean_financials_2020_2025!$E:$E,"balance")</f>
        <v>2539094</v>
      </c>
      <c r="L7" s="14">
        <f>SUMIFS(clean_financials_2020_2025!$D:$D,clean_financials_2020_2025!$C:$C,$A7,clean_financials_2020_2025!$B:$B,1400,clean_financials_2020_2025!$E:$E,"balance")</f>
        <v>2067866</v>
      </c>
      <c r="M7" s="14">
        <f>SUMIFS(clean_financials_2020_2025!$D:$D,clean_financials_2020_2025!$C:$C,$A7,clean_financials_2020_2025!$B:$B,1500,clean_financials_2020_2025!$E:$E,"balance")</f>
        <v>1341796</v>
      </c>
      <c r="N7" s="14">
        <f>SUMIFS(clean_financials_2020_2025!$D:$D,clean_financials_2020_2025!$C:$C,$A7,clean_financials_2020_2025!$B:$B,1250,clean_financials_2020_2025!$E:$E,"balance")</f>
        <v>9374</v>
      </c>
      <c r="O7" s="14">
        <f>SUMIFS(clean_financials_2020_2025!$D:$D,clean_financials_2020_2025!$C:$C,$A7,clean_financials_2020_2025!$B:$B,1230,clean_financials_2020_2025!$E:$E,"balance")</f>
        <v>4661132</v>
      </c>
      <c r="P7" s="14">
        <f>SUMIFS(clean_financials_2020_2025!$D:$D,clean_financials_2020_2025!$C:$C,$A7,clean_financials_2020_2025!$B:$B,1520,clean_financials_2020_2025!$E:$E,"balance")</f>
        <v>1228249</v>
      </c>
      <c r="Q7" s="14">
        <f>SUMIFS(clean_financials_2020_2025!$D:$D,clean_financials_2020_2025!$C:$C,$A7,clean_financials_2020_2025!$B:$B,1210,clean_financials_2020_2025!$E:$E,"balance")</f>
        <v>2615</v>
      </c>
      <c r="R7" s="14">
        <f t="shared" si="0"/>
        <v>3409662</v>
      </c>
      <c r="S7" s="14">
        <f t="shared" si="1"/>
        <v>3397760</v>
      </c>
      <c r="T7" s="14">
        <f>(H7+H6)/2</f>
        <v>5118117.5</v>
      </c>
      <c r="U7" s="14">
        <f>(K7+K6)/2</f>
        <v>2726840</v>
      </c>
      <c r="V7" s="14">
        <f>(O7+O6)/2</f>
        <v>3967391.5</v>
      </c>
      <c r="W7" s="5">
        <f t="shared" si="2"/>
        <v>0.4319081878347934</v>
      </c>
      <c r="X7" s="5">
        <f t="shared" si="3"/>
        <v>0.16484218843772097</v>
      </c>
      <c r="Y7" s="5">
        <f t="shared" si="4"/>
        <v>-0.10461852570271435</v>
      </c>
      <c r="Z7" s="5">
        <f>IFERROR(G7/T7,"")</f>
        <v>-7.3365255877771471E-2</v>
      </c>
      <c r="AA7" s="5">
        <f>IFERROR(G7/U7,"")</f>
        <v>-0.13770224875680276</v>
      </c>
      <c r="AB7" s="7">
        <f t="shared" si="5"/>
        <v>3.5322478230669936</v>
      </c>
      <c r="AC7" s="7">
        <f t="shared" si="6"/>
        <v>3.5302989426112465</v>
      </c>
      <c r="AD7" s="7">
        <f t="shared" si="7"/>
        <v>6.9861588497804432E-3</v>
      </c>
      <c r="AE7" s="5">
        <f t="shared" si="8"/>
        <v>0.42682772667092078</v>
      </c>
      <c r="AF7" s="7">
        <f t="shared" si="9"/>
        <v>1.3428656048180965</v>
      </c>
      <c r="AG7" s="5">
        <f t="shared" si="10"/>
        <v>0.57317227332907927</v>
      </c>
      <c r="AH7" s="7">
        <f>IFERROR(B7/T7,"")</f>
        <v>0.70126447859002849</v>
      </c>
      <c r="AI7" s="16">
        <f>IFERROR(V7/B7*365,"")</f>
        <v>403.4649662566722</v>
      </c>
      <c r="AJ7" s="5">
        <f>IFERROR(B7/B6-1,"")</f>
        <v>1.9458639278518985E-2</v>
      </c>
      <c r="AK7" s="5">
        <f t="shared" si="11"/>
        <v>1.4162467906024978</v>
      </c>
      <c r="AL7" s="9">
        <f t="shared" si="11"/>
        <v>0.38747175204823159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7"/>
  <sheetViews>
    <sheetView workbookViewId="0"/>
  </sheetViews>
  <sheetFormatPr defaultRowHeight="14.4" x14ac:dyDescent="0.3"/>
  <cols>
    <col min="1" max="1" width="59.88671875" customWidth="1"/>
    <col min="2" max="2" width="11.33203125" customWidth="1"/>
    <col min="3" max="3" width="6.88671875" customWidth="1"/>
    <col min="4" max="4" width="8.6640625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1100</v>
      </c>
      <c r="C2">
        <v>2020</v>
      </c>
      <c r="D2">
        <v>268300</v>
      </c>
      <c r="E2" t="s">
        <v>6</v>
      </c>
    </row>
    <row r="3" spans="1:5" x14ac:dyDescent="0.3">
      <c r="A3" s="1" t="s">
        <v>5</v>
      </c>
      <c r="B3">
        <v>1100</v>
      </c>
      <c r="C3">
        <v>2021</v>
      </c>
      <c r="D3">
        <v>343275</v>
      </c>
      <c r="E3" t="s">
        <v>6</v>
      </c>
    </row>
    <row r="4" spans="1:5" x14ac:dyDescent="0.3">
      <c r="A4" s="1" t="s">
        <v>5</v>
      </c>
      <c r="B4">
        <v>1100</v>
      </c>
      <c r="C4">
        <v>2022</v>
      </c>
      <c r="D4">
        <v>288795</v>
      </c>
      <c r="E4" t="s">
        <v>6</v>
      </c>
    </row>
    <row r="5" spans="1:5" x14ac:dyDescent="0.3">
      <c r="A5" s="1" t="s">
        <v>5</v>
      </c>
      <c r="B5">
        <v>1100</v>
      </c>
      <c r="C5">
        <v>2023</v>
      </c>
      <c r="D5">
        <v>743254</v>
      </c>
      <c r="E5" t="s">
        <v>6</v>
      </c>
    </row>
    <row r="6" spans="1:5" x14ac:dyDescent="0.3">
      <c r="A6" s="1" t="s">
        <v>5</v>
      </c>
      <c r="B6">
        <v>1100</v>
      </c>
      <c r="C6">
        <v>2024</v>
      </c>
      <c r="D6">
        <v>266946</v>
      </c>
      <c r="E6" t="s">
        <v>6</v>
      </c>
    </row>
    <row r="7" spans="1:5" x14ac:dyDescent="0.3">
      <c r="A7" s="1" t="s">
        <v>5</v>
      </c>
      <c r="B7">
        <v>1100</v>
      </c>
      <c r="C7">
        <v>2025</v>
      </c>
      <c r="D7">
        <v>1209200</v>
      </c>
      <c r="E7" t="s">
        <v>6</v>
      </c>
    </row>
    <row r="8" spans="1:5" x14ac:dyDescent="0.3">
      <c r="A8" s="1" t="s">
        <v>7</v>
      </c>
      <c r="B8">
        <v>1110</v>
      </c>
      <c r="C8">
        <v>2020</v>
      </c>
      <c r="D8">
        <v>56507</v>
      </c>
      <c r="E8" t="s">
        <v>6</v>
      </c>
    </row>
    <row r="9" spans="1:5" x14ac:dyDescent="0.3">
      <c r="A9" s="1" t="s">
        <v>7</v>
      </c>
      <c r="B9">
        <v>1110</v>
      </c>
      <c r="C9">
        <v>2021</v>
      </c>
      <c r="D9">
        <v>49737</v>
      </c>
      <c r="E9" t="s">
        <v>6</v>
      </c>
    </row>
    <row r="10" spans="1:5" x14ac:dyDescent="0.3">
      <c r="A10" s="1" t="s">
        <v>7</v>
      </c>
      <c r="B10">
        <v>1110</v>
      </c>
      <c r="C10">
        <v>2022</v>
      </c>
      <c r="D10">
        <v>26219</v>
      </c>
      <c r="E10" t="s">
        <v>6</v>
      </c>
    </row>
    <row r="11" spans="1:5" x14ac:dyDescent="0.3">
      <c r="A11" s="1" t="s">
        <v>7</v>
      </c>
      <c r="B11">
        <v>1110</v>
      </c>
      <c r="C11">
        <v>2023</v>
      </c>
      <c r="D11">
        <v>26715</v>
      </c>
      <c r="E11" t="s">
        <v>6</v>
      </c>
    </row>
    <row r="12" spans="1:5" x14ac:dyDescent="0.3">
      <c r="A12" s="1" t="s">
        <v>7</v>
      </c>
      <c r="B12">
        <v>1110</v>
      </c>
      <c r="C12">
        <v>2024</v>
      </c>
      <c r="D12">
        <v>23544</v>
      </c>
      <c r="E12" t="s">
        <v>6</v>
      </c>
    </row>
    <row r="13" spans="1:5" x14ac:dyDescent="0.3">
      <c r="A13" s="1" t="s">
        <v>7</v>
      </c>
      <c r="B13">
        <v>1110</v>
      </c>
      <c r="C13">
        <v>2025</v>
      </c>
      <c r="D13">
        <v>25012</v>
      </c>
      <c r="E13" t="s">
        <v>6</v>
      </c>
    </row>
    <row r="14" spans="1:5" x14ac:dyDescent="0.3">
      <c r="A14" s="1" t="s">
        <v>8</v>
      </c>
      <c r="B14">
        <v>1150</v>
      </c>
      <c r="C14">
        <v>2020</v>
      </c>
      <c r="D14">
        <v>90852</v>
      </c>
      <c r="E14" t="s">
        <v>6</v>
      </c>
    </row>
    <row r="15" spans="1:5" x14ac:dyDescent="0.3">
      <c r="A15" s="1" t="s">
        <v>8</v>
      </c>
      <c r="B15">
        <v>1150</v>
      </c>
      <c r="C15">
        <v>2021</v>
      </c>
      <c r="D15">
        <v>162270</v>
      </c>
      <c r="E15" t="s">
        <v>6</v>
      </c>
    </row>
    <row r="16" spans="1:5" x14ac:dyDescent="0.3">
      <c r="A16" s="1" t="s">
        <v>8</v>
      </c>
      <c r="B16">
        <v>1150</v>
      </c>
      <c r="C16">
        <v>2022</v>
      </c>
      <c r="D16">
        <v>148762</v>
      </c>
      <c r="E16" t="s">
        <v>6</v>
      </c>
    </row>
    <row r="17" spans="1:5" x14ac:dyDescent="0.3">
      <c r="A17" s="1" t="s">
        <v>8</v>
      </c>
      <c r="B17">
        <v>1150</v>
      </c>
      <c r="C17">
        <v>2023</v>
      </c>
      <c r="D17">
        <v>96149</v>
      </c>
      <c r="E17" t="s">
        <v>6</v>
      </c>
    </row>
    <row r="18" spans="1:5" x14ac:dyDescent="0.3">
      <c r="A18" s="1" t="s">
        <v>8</v>
      </c>
      <c r="B18">
        <v>1150</v>
      </c>
      <c r="C18">
        <v>2024</v>
      </c>
      <c r="D18">
        <v>201725</v>
      </c>
      <c r="E18" t="s">
        <v>6</v>
      </c>
    </row>
    <row r="19" spans="1:5" x14ac:dyDescent="0.3">
      <c r="A19" s="1" t="s">
        <v>8</v>
      </c>
      <c r="B19">
        <v>1150</v>
      </c>
      <c r="C19">
        <v>2025</v>
      </c>
      <c r="D19">
        <v>429022</v>
      </c>
      <c r="E19" t="s">
        <v>6</v>
      </c>
    </row>
    <row r="20" spans="1:5" x14ac:dyDescent="0.3">
      <c r="A20" s="1" t="s">
        <v>9</v>
      </c>
      <c r="B20">
        <v>1160</v>
      </c>
      <c r="C20">
        <v>2020</v>
      </c>
      <c r="D20">
        <v>0</v>
      </c>
      <c r="E20" t="s">
        <v>6</v>
      </c>
    </row>
    <row r="21" spans="1:5" x14ac:dyDescent="0.3">
      <c r="A21" s="1" t="s">
        <v>9</v>
      </c>
      <c r="B21">
        <v>1160</v>
      </c>
      <c r="C21">
        <v>2021</v>
      </c>
      <c r="D21">
        <v>1213</v>
      </c>
      <c r="E21" t="s">
        <v>6</v>
      </c>
    </row>
    <row r="22" spans="1:5" x14ac:dyDescent="0.3">
      <c r="A22" s="1" t="s">
        <v>9</v>
      </c>
      <c r="B22">
        <v>1160</v>
      </c>
      <c r="C22">
        <v>2022</v>
      </c>
      <c r="D22">
        <v>1213</v>
      </c>
      <c r="E22" t="s">
        <v>6</v>
      </c>
    </row>
    <row r="23" spans="1:5" x14ac:dyDescent="0.3">
      <c r="A23" s="1" t="s">
        <v>9</v>
      </c>
      <c r="B23">
        <v>1160</v>
      </c>
      <c r="C23">
        <v>2023</v>
      </c>
      <c r="D23">
        <v>0</v>
      </c>
      <c r="E23" t="s">
        <v>6</v>
      </c>
    </row>
    <row r="24" spans="1:5" x14ac:dyDescent="0.3">
      <c r="A24" s="1" t="s">
        <v>9</v>
      </c>
      <c r="B24">
        <v>1160</v>
      </c>
      <c r="C24">
        <v>2024</v>
      </c>
      <c r="D24">
        <v>0</v>
      </c>
      <c r="E24" t="s">
        <v>6</v>
      </c>
    </row>
    <row r="25" spans="1:5" x14ac:dyDescent="0.3">
      <c r="A25" s="1" t="s">
        <v>9</v>
      </c>
      <c r="B25">
        <v>1160</v>
      </c>
      <c r="C25">
        <v>2025</v>
      </c>
      <c r="D25">
        <v>0</v>
      </c>
      <c r="E25" t="s">
        <v>6</v>
      </c>
    </row>
    <row r="26" spans="1:5" x14ac:dyDescent="0.3">
      <c r="A26" s="1" t="s">
        <v>10</v>
      </c>
      <c r="B26">
        <v>1170</v>
      </c>
      <c r="C26">
        <v>2020</v>
      </c>
      <c r="D26">
        <v>113733</v>
      </c>
      <c r="E26" t="s">
        <v>6</v>
      </c>
    </row>
    <row r="27" spans="1:5" x14ac:dyDescent="0.3">
      <c r="A27" s="1" t="s">
        <v>10</v>
      </c>
      <c r="B27">
        <v>1170</v>
      </c>
      <c r="C27">
        <v>2021</v>
      </c>
      <c r="D27">
        <v>126685</v>
      </c>
      <c r="E27" t="s">
        <v>6</v>
      </c>
    </row>
    <row r="28" spans="1:5" x14ac:dyDescent="0.3">
      <c r="A28" s="1" t="s">
        <v>10</v>
      </c>
      <c r="B28">
        <v>1170</v>
      </c>
      <c r="C28">
        <v>2022</v>
      </c>
      <c r="D28">
        <v>112601</v>
      </c>
      <c r="E28" t="s">
        <v>6</v>
      </c>
    </row>
    <row r="29" spans="1:5" x14ac:dyDescent="0.3">
      <c r="A29" s="1" t="s">
        <v>10</v>
      </c>
      <c r="B29">
        <v>1170</v>
      </c>
      <c r="C29">
        <v>2023</v>
      </c>
      <c r="D29">
        <v>613266</v>
      </c>
      <c r="E29" t="s">
        <v>6</v>
      </c>
    </row>
    <row r="30" spans="1:5" x14ac:dyDescent="0.3">
      <c r="A30" s="1" t="s">
        <v>10</v>
      </c>
      <c r="B30">
        <v>1170</v>
      </c>
      <c r="C30">
        <v>2024</v>
      </c>
      <c r="D30">
        <v>13313</v>
      </c>
      <c r="E30" t="s">
        <v>6</v>
      </c>
    </row>
    <row r="31" spans="1:5" x14ac:dyDescent="0.3">
      <c r="A31" s="1" t="s">
        <v>10</v>
      </c>
      <c r="B31">
        <v>1170</v>
      </c>
      <c r="C31">
        <v>2025</v>
      </c>
      <c r="D31">
        <v>703120</v>
      </c>
      <c r="E31" t="s">
        <v>6</v>
      </c>
    </row>
    <row r="32" spans="1:5" x14ac:dyDescent="0.3">
      <c r="A32" s="1" t="s">
        <v>11</v>
      </c>
      <c r="B32">
        <v>1180</v>
      </c>
      <c r="C32">
        <v>2020</v>
      </c>
      <c r="D32">
        <v>7208</v>
      </c>
      <c r="E32" t="s">
        <v>6</v>
      </c>
    </row>
    <row r="33" spans="1:5" x14ac:dyDescent="0.3">
      <c r="A33" s="1" t="s">
        <v>11</v>
      </c>
      <c r="B33">
        <v>1180</v>
      </c>
      <c r="C33">
        <v>2021</v>
      </c>
      <c r="D33">
        <v>3370</v>
      </c>
      <c r="E33" t="s">
        <v>6</v>
      </c>
    </row>
    <row r="34" spans="1:5" x14ac:dyDescent="0.3">
      <c r="A34" s="1" t="s">
        <v>11</v>
      </c>
      <c r="B34">
        <v>1180</v>
      </c>
      <c r="C34">
        <v>2022</v>
      </c>
      <c r="D34">
        <v>0</v>
      </c>
      <c r="E34" t="s">
        <v>6</v>
      </c>
    </row>
    <row r="35" spans="1:5" x14ac:dyDescent="0.3">
      <c r="A35" s="1" t="s">
        <v>11</v>
      </c>
      <c r="B35">
        <v>1180</v>
      </c>
      <c r="C35">
        <v>2023</v>
      </c>
      <c r="D35">
        <v>7124</v>
      </c>
      <c r="E35" t="s">
        <v>6</v>
      </c>
    </row>
    <row r="36" spans="1:5" x14ac:dyDescent="0.3">
      <c r="A36" s="1" t="s">
        <v>11</v>
      </c>
      <c r="B36">
        <v>1180</v>
      </c>
      <c r="C36">
        <v>2024</v>
      </c>
      <c r="D36">
        <v>28364</v>
      </c>
      <c r="E36" t="s">
        <v>6</v>
      </c>
    </row>
    <row r="37" spans="1:5" x14ac:dyDescent="0.3">
      <c r="A37" s="1" t="s">
        <v>11</v>
      </c>
      <c r="B37">
        <v>1180</v>
      </c>
      <c r="C37">
        <v>2025</v>
      </c>
      <c r="D37">
        <v>52046</v>
      </c>
      <c r="E37" t="s">
        <v>6</v>
      </c>
    </row>
    <row r="38" spans="1:5" x14ac:dyDescent="0.3">
      <c r="A38" s="1" t="s">
        <v>12</v>
      </c>
      <c r="B38">
        <v>1200</v>
      </c>
      <c r="C38">
        <v>2020</v>
      </c>
      <c r="D38">
        <v>2750685</v>
      </c>
      <c r="E38" t="s">
        <v>6</v>
      </c>
    </row>
    <row r="39" spans="1:5" x14ac:dyDescent="0.3">
      <c r="A39" s="1" t="s">
        <v>12</v>
      </c>
      <c r="B39">
        <v>1200</v>
      </c>
      <c r="C39">
        <v>2021</v>
      </c>
      <c r="D39">
        <v>4102458</v>
      </c>
      <c r="E39" t="s">
        <v>6</v>
      </c>
    </row>
    <row r="40" spans="1:5" x14ac:dyDescent="0.3">
      <c r="A40" s="1" t="s">
        <v>12</v>
      </c>
      <c r="B40">
        <v>1200</v>
      </c>
      <c r="C40">
        <v>2022</v>
      </c>
      <c r="D40">
        <v>3681063</v>
      </c>
      <c r="E40" t="s">
        <v>6</v>
      </c>
    </row>
    <row r="41" spans="1:5" x14ac:dyDescent="0.3">
      <c r="A41" s="1" t="s">
        <v>12</v>
      </c>
      <c r="B41">
        <v>1200</v>
      </c>
      <c r="C41">
        <v>2023</v>
      </c>
      <c r="D41">
        <v>3240244</v>
      </c>
      <c r="E41" t="s">
        <v>6</v>
      </c>
    </row>
    <row r="42" spans="1:5" x14ac:dyDescent="0.3">
      <c r="A42" s="1" t="s">
        <v>12</v>
      </c>
      <c r="B42">
        <v>1200</v>
      </c>
      <c r="C42">
        <v>2024</v>
      </c>
      <c r="D42">
        <v>4020533</v>
      </c>
      <c r="E42" t="s">
        <v>6</v>
      </c>
    </row>
    <row r="43" spans="1:5" x14ac:dyDescent="0.3">
      <c r="A43" s="1" t="s">
        <v>12</v>
      </c>
      <c r="B43">
        <v>1200</v>
      </c>
      <c r="C43">
        <v>2025</v>
      </c>
      <c r="D43">
        <v>4739556</v>
      </c>
      <c r="E43" t="s">
        <v>6</v>
      </c>
    </row>
    <row r="44" spans="1:5" x14ac:dyDescent="0.3">
      <c r="A44" s="1" t="s">
        <v>13</v>
      </c>
      <c r="B44">
        <v>1210</v>
      </c>
      <c r="C44">
        <v>2020</v>
      </c>
      <c r="D44">
        <v>425</v>
      </c>
      <c r="E44" t="s">
        <v>6</v>
      </c>
    </row>
    <row r="45" spans="1:5" x14ac:dyDescent="0.3">
      <c r="A45" s="1" t="s">
        <v>13</v>
      </c>
      <c r="B45">
        <v>1210</v>
      </c>
      <c r="C45">
        <v>2021</v>
      </c>
      <c r="D45">
        <v>31</v>
      </c>
      <c r="E45" t="s">
        <v>6</v>
      </c>
    </row>
    <row r="46" spans="1:5" x14ac:dyDescent="0.3">
      <c r="A46" s="1" t="s">
        <v>13</v>
      </c>
      <c r="B46">
        <v>1210</v>
      </c>
      <c r="C46">
        <v>2022</v>
      </c>
      <c r="D46">
        <v>2936</v>
      </c>
      <c r="E46" t="s">
        <v>6</v>
      </c>
    </row>
    <row r="47" spans="1:5" x14ac:dyDescent="0.3">
      <c r="A47" s="1" t="s">
        <v>13</v>
      </c>
      <c r="B47">
        <v>1210</v>
      </c>
      <c r="C47">
        <v>2023</v>
      </c>
      <c r="D47">
        <v>2238</v>
      </c>
      <c r="E47" t="s">
        <v>6</v>
      </c>
    </row>
    <row r="48" spans="1:5" x14ac:dyDescent="0.3">
      <c r="A48" s="1" t="s">
        <v>13</v>
      </c>
      <c r="B48">
        <v>1210</v>
      </c>
      <c r="C48">
        <v>2024</v>
      </c>
      <c r="D48">
        <v>2179</v>
      </c>
      <c r="E48" t="s">
        <v>6</v>
      </c>
    </row>
    <row r="49" spans="1:5" x14ac:dyDescent="0.3">
      <c r="A49" s="1" t="s">
        <v>13</v>
      </c>
      <c r="B49">
        <v>1210</v>
      </c>
      <c r="C49">
        <v>2025</v>
      </c>
      <c r="D49">
        <v>2615</v>
      </c>
      <c r="E49" t="s">
        <v>6</v>
      </c>
    </row>
    <row r="50" spans="1:5" x14ac:dyDescent="0.3">
      <c r="A50" s="1" t="s">
        <v>14</v>
      </c>
      <c r="B50">
        <v>1220</v>
      </c>
      <c r="C50">
        <v>2020</v>
      </c>
      <c r="D50">
        <v>0</v>
      </c>
      <c r="E50" t="s">
        <v>6</v>
      </c>
    </row>
    <row r="51" spans="1:5" x14ac:dyDescent="0.3">
      <c r="A51" s="1" t="s">
        <v>14</v>
      </c>
      <c r="B51">
        <v>1220</v>
      </c>
      <c r="C51">
        <v>2021</v>
      </c>
      <c r="D51">
        <v>0</v>
      </c>
      <c r="E51" t="s">
        <v>6</v>
      </c>
    </row>
    <row r="52" spans="1:5" x14ac:dyDescent="0.3">
      <c r="A52" s="1" t="s">
        <v>14</v>
      </c>
      <c r="B52">
        <v>1220</v>
      </c>
      <c r="C52">
        <v>2022</v>
      </c>
      <c r="D52">
        <v>0</v>
      </c>
      <c r="E52" t="s">
        <v>6</v>
      </c>
    </row>
    <row r="53" spans="1:5" x14ac:dyDescent="0.3">
      <c r="A53" s="1" t="s">
        <v>14</v>
      </c>
      <c r="B53">
        <v>1220</v>
      </c>
      <c r="C53">
        <v>2023</v>
      </c>
      <c r="D53">
        <v>0</v>
      </c>
      <c r="E53" t="s">
        <v>6</v>
      </c>
    </row>
    <row r="54" spans="1:5" x14ac:dyDescent="0.3">
      <c r="A54" s="1" t="s">
        <v>14</v>
      </c>
      <c r="B54">
        <v>1220</v>
      </c>
      <c r="C54">
        <v>2024</v>
      </c>
      <c r="D54">
        <v>239</v>
      </c>
      <c r="E54" t="s">
        <v>6</v>
      </c>
    </row>
    <row r="55" spans="1:5" x14ac:dyDescent="0.3">
      <c r="A55" s="1" t="s">
        <v>14</v>
      </c>
      <c r="B55">
        <v>1220</v>
      </c>
      <c r="C55">
        <v>2025</v>
      </c>
      <c r="D55">
        <v>435</v>
      </c>
      <c r="E55" t="s">
        <v>6</v>
      </c>
    </row>
    <row r="56" spans="1:5" x14ac:dyDescent="0.3">
      <c r="A56" s="1" t="s">
        <v>15</v>
      </c>
      <c r="B56">
        <v>1230</v>
      </c>
      <c r="C56">
        <v>2020</v>
      </c>
      <c r="D56">
        <v>259411</v>
      </c>
      <c r="E56" t="s">
        <v>6</v>
      </c>
    </row>
    <row r="57" spans="1:5" x14ac:dyDescent="0.3">
      <c r="A57" s="1" t="s">
        <v>15</v>
      </c>
      <c r="B57">
        <v>1230</v>
      </c>
      <c r="C57">
        <v>2021</v>
      </c>
      <c r="D57">
        <v>626083</v>
      </c>
      <c r="E57" t="s">
        <v>6</v>
      </c>
    </row>
    <row r="58" spans="1:5" x14ac:dyDescent="0.3">
      <c r="A58" s="1" t="s">
        <v>15</v>
      </c>
      <c r="B58">
        <v>1230</v>
      </c>
      <c r="C58">
        <v>2022</v>
      </c>
      <c r="D58">
        <v>1553374</v>
      </c>
      <c r="E58" t="s">
        <v>6</v>
      </c>
    </row>
    <row r="59" spans="1:5" x14ac:dyDescent="0.3">
      <c r="A59" s="1" t="s">
        <v>15</v>
      </c>
      <c r="B59">
        <v>1230</v>
      </c>
      <c r="C59">
        <v>2023</v>
      </c>
      <c r="D59">
        <v>2333028</v>
      </c>
      <c r="E59" t="s">
        <v>6</v>
      </c>
    </row>
    <row r="60" spans="1:5" x14ac:dyDescent="0.3">
      <c r="A60" s="1" t="s">
        <v>15</v>
      </c>
      <c r="B60">
        <v>1230</v>
      </c>
      <c r="C60">
        <v>2024</v>
      </c>
      <c r="D60">
        <v>3273651</v>
      </c>
      <c r="E60" t="s">
        <v>6</v>
      </c>
    </row>
    <row r="61" spans="1:5" x14ac:dyDescent="0.3">
      <c r="A61" s="1" t="s">
        <v>15</v>
      </c>
      <c r="B61">
        <v>1230</v>
      </c>
      <c r="C61">
        <v>2025</v>
      </c>
      <c r="D61">
        <v>4661132</v>
      </c>
      <c r="E61" t="s">
        <v>6</v>
      </c>
    </row>
    <row r="62" spans="1:5" x14ac:dyDescent="0.3">
      <c r="A62" s="1" t="s">
        <v>16</v>
      </c>
      <c r="B62">
        <v>1240</v>
      </c>
      <c r="C62">
        <v>2020</v>
      </c>
      <c r="D62">
        <v>1173610</v>
      </c>
      <c r="E62" t="s">
        <v>6</v>
      </c>
    </row>
    <row r="63" spans="1:5" x14ac:dyDescent="0.3">
      <c r="A63" s="1" t="s">
        <v>16</v>
      </c>
      <c r="B63">
        <v>1240</v>
      </c>
      <c r="C63">
        <v>2021</v>
      </c>
      <c r="D63">
        <v>975121</v>
      </c>
      <c r="E63" t="s">
        <v>6</v>
      </c>
    </row>
    <row r="64" spans="1:5" x14ac:dyDescent="0.3">
      <c r="A64" s="1" t="s">
        <v>16</v>
      </c>
      <c r="B64">
        <v>1240</v>
      </c>
      <c r="C64">
        <v>2022</v>
      </c>
      <c r="D64">
        <v>1083368</v>
      </c>
      <c r="E64" t="s">
        <v>6</v>
      </c>
    </row>
    <row r="65" spans="1:5" x14ac:dyDescent="0.3">
      <c r="A65" s="1" t="s">
        <v>16</v>
      </c>
      <c r="B65">
        <v>1240</v>
      </c>
      <c r="C65">
        <v>2023</v>
      </c>
      <c r="D65">
        <v>862625</v>
      </c>
      <c r="E65" t="s">
        <v>6</v>
      </c>
    </row>
    <row r="66" spans="1:5" x14ac:dyDescent="0.3">
      <c r="A66" s="1" t="s">
        <v>16</v>
      </c>
      <c r="B66">
        <v>1240</v>
      </c>
      <c r="C66">
        <v>2024</v>
      </c>
      <c r="D66">
        <v>704624</v>
      </c>
      <c r="E66" t="s">
        <v>6</v>
      </c>
    </row>
    <row r="67" spans="1:5" x14ac:dyDescent="0.3">
      <c r="A67" s="1" t="s">
        <v>16</v>
      </c>
      <c r="B67">
        <v>1240</v>
      </c>
      <c r="C67">
        <v>2025</v>
      </c>
      <c r="D67">
        <v>66000</v>
      </c>
      <c r="E67" t="s">
        <v>6</v>
      </c>
    </row>
    <row r="68" spans="1:5" x14ac:dyDescent="0.3">
      <c r="A68" s="1" t="s">
        <v>17</v>
      </c>
      <c r="B68">
        <v>1250</v>
      </c>
      <c r="C68">
        <v>2020</v>
      </c>
      <c r="D68">
        <v>1302369</v>
      </c>
      <c r="E68" t="s">
        <v>6</v>
      </c>
    </row>
    <row r="69" spans="1:5" x14ac:dyDescent="0.3">
      <c r="A69" s="1" t="s">
        <v>17</v>
      </c>
      <c r="B69">
        <v>1250</v>
      </c>
      <c r="C69">
        <v>2021</v>
      </c>
      <c r="D69">
        <v>2484861</v>
      </c>
      <c r="E69" t="s">
        <v>6</v>
      </c>
    </row>
    <row r="70" spans="1:5" x14ac:dyDescent="0.3">
      <c r="A70" s="1" t="s">
        <v>17</v>
      </c>
      <c r="B70">
        <v>1250</v>
      </c>
      <c r="C70">
        <v>2022</v>
      </c>
      <c r="D70">
        <v>1034196</v>
      </c>
      <c r="E70" t="s">
        <v>6</v>
      </c>
    </row>
    <row r="71" spans="1:5" x14ac:dyDescent="0.3">
      <c r="A71" s="1" t="s">
        <v>17</v>
      </c>
      <c r="B71">
        <v>1250</v>
      </c>
      <c r="C71">
        <v>2023</v>
      </c>
      <c r="D71">
        <v>42327</v>
      </c>
      <c r="E71" t="s">
        <v>6</v>
      </c>
    </row>
    <row r="72" spans="1:5" x14ac:dyDescent="0.3">
      <c r="A72" s="1" t="s">
        <v>17</v>
      </c>
      <c r="B72">
        <v>1250</v>
      </c>
      <c r="C72">
        <v>2024</v>
      </c>
      <c r="D72">
        <v>39658</v>
      </c>
      <c r="E72" t="s">
        <v>6</v>
      </c>
    </row>
    <row r="73" spans="1:5" x14ac:dyDescent="0.3">
      <c r="A73" s="1" t="s">
        <v>17</v>
      </c>
      <c r="B73">
        <v>1250</v>
      </c>
      <c r="C73">
        <v>2025</v>
      </c>
      <c r="D73">
        <v>9374</v>
      </c>
      <c r="E73" t="s">
        <v>6</v>
      </c>
    </row>
    <row r="74" spans="1:5" x14ac:dyDescent="0.3">
      <c r="A74" s="1" t="s">
        <v>18</v>
      </c>
      <c r="B74">
        <v>1260</v>
      </c>
      <c r="C74">
        <v>2020</v>
      </c>
      <c r="D74">
        <v>14870</v>
      </c>
      <c r="E74" t="s">
        <v>6</v>
      </c>
    </row>
    <row r="75" spans="1:5" x14ac:dyDescent="0.3">
      <c r="A75" s="1" t="s">
        <v>18</v>
      </c>
      <c r="B75">
        <v>1260</v>
      </c>
      <c r="C75">
        <v>2021</v>
      </c>
      <c r="D75">
        <v>16362</v>
      </c>
      <c r="E75" t="s">
        <v>6</v>
      </c>
    </row>
    <row r="76" spans="1:5" x14ac:dyDescent="0.3">
      <c r="A76" s="1" t="s">
        <v>18</v>
      </c>
      <c r="B76">
        <v>1260</v>
      </c>
      <c r="C76">
        <v>2022</v>
      </c>
      <c r="D76">
        <v>7189</v>
      </c>
      <c r="E76" t="s">
        <v>6</v>
      </c>
    </row>
    <row r="77" spans="1:5" x14ac:dyDescent="0.3">
      <c r="A77" s="1" t="s">
        <v>18</v>
      </c>
      <c r="B77">
        <v>1260</v>
      </c>
      <c r="C77">
        <v>2023</v>
      </c>
      <c r="D77">
        <v>26</v>
      </c>
      <c r="E77" t="s">
        <v>6</v>
      </c>
    </row>
    <row r="78" spans="1:5" x14ac:dyDescent="0.3">
      <c r="A78" s="1" t="s">
        <v>18</v>
      </c>
      <c r="B78">
        <v>1260</v>
      </c>
      <c r="C78">
        <v>2024</v>
      </c>
      <c r="D78">
        <v>182</v>
      </c>
      <c r="E78" t="s">
        <v>6</v>
      </c>
    </row>
    <row r="79" spans="1:5" x14ac:dyDescent="0.3">
      <c r="A79" s="1" t="s">
        <v>18</v>
      </c>
      <c r="B79">
        <v>1260</v>
      </c>
      <c r="C79">
        <v>2025</v>
      </c>
      <c r="D79">
        <v>0</v>
      </c>
      <c r="E79" t="s">
        <v>6</v>
      </c>
    </row>
    <row r="80" spans="1:5" x14ac:dyDescent="0.3">
      <c r="A80" s="1" t="s">
        <v>19</v>
      </c>
      <c r="B80">
        <v>1300</v>
      </c>
      <c r="C80">
        <v>2020</v>
      </c>
      <c r="D80">
        <v>2957634</v>
      </c>
      <c r="E80" t="s">
        <v>6</v>
      </c>
    </row>
    <row r="81" spans="1:5" x14ac:dyDescent="0.3">
      <c r="A81" s="1" t="s">
        <v>19</v>
      </c>
      <c r="B81">
        <v>1300</v>
      </c>
      <c r="C81">
        <v>2021</v>
      </c>
      <c r="D81">
        <v>3975662</v>
      </c>
      <c r="E81" t="s">
        <v>6</v>
      </c>
    </row>
    <row r="82" spans="1:5" x14ac:dyDescent="0.3">
      <c r="A82" s="1" t="s">
        <v>19</v>
      </c>
      <c r="B82">
        <v>1300</v>
      </c>
      <c r="C82">
        <v>2022</v>
      </c>
      <c r="D82">
        <v>3557540</v>
      </c>
      <c r="E82" t="s">
        <v>6</v>
      </c>
    </row>
    <row r="83" spans="1:5" x14ac:dyDescent="0.3">
      <c r="A83" s="1" t="s">
        <v>19</v>
      </c>
      <c r="B83">
        <v>1300</v>
      </c>
      <c r="C83">
        <v>2023</v>
      </c>
      <c r="D83">
        <v>3144989</v>
      </c>
      <c r="E83" t="s">
        <v>6</v>
      </c>
    </row>
    <row r="84" spans="1:5" x14ac:dyDescent="0.3">
      <c r="A84" s="1" t="s">
        <v>19</v>
      </c>
      <c r="B84">
        <v>1300</v>
      </c>
      <c r="C84">
        <v>2024</v>
      </c>
      <c r="D84">
        <v>2914586</v>
      </c>
      <c r="E84" t="s">
        <v>6</v>
      </c>
    </row>
    <row r="85" spans="1:5" x14ac:dyDescent="0.3">
      <c r="A85" s="1" t="s">
        <v>19</v>
      </c>
      <c r="B85">
        <v>1300</v>
      </c>
      <c r="C85">
        <v>2025</v>
      </c>
      <c r="D85">
        <v>2539094</v>
      </c>
      <c r="E85" t="s">
        <v>6</v>
      </c>
    </row>
    <row r="86" spans="1:5" x14ac:dyDescent="0.3">
      <c r="A86" s="1" t="s">
        <v>20</v>
      </c>
      <c r="B86">
        <v>1310</v>
      </c>
      <c r="C86">
        <v>2020</v>
      </c>
      <c r="D86">
        <v>73</v>
      </c>
      <c r="E86" t="s">
        <v>6</v>
      </c>
    </row>
    <row r="87" spans="1:5" x14ac:dyDescent="0.3">
      <c r="A87" s="1" t="s">
        <v>20</v>
      </c>
      <c r="B87">
        <v>1310</v>
      </c>
      <c r="C87">
        <v>2021</v>
      </c>
      <c r="D87">
        <v>73</v>
      </c>
      <c r="E87" t="s">
        <v>6</v>
      </c>
    </row>
    <row r="88" spans="1:5" x14ac:dyDescent="0.3">
      <c r="A88" s="1" t="s">
        <v>20</v>
      </c>
      <c r="B88">
        <v>1310</v>
      </c>
      <c r="C88">
        <v>2022</v>
      </c>
      <c r="D88">
        <v>73</v>
      </c>
      <c r="E88" t="s">
        <v>6</v>
      </c>
    </row>
    <row r="89" spans="1:5" x14ac:dyDescent="0.3">
      <c r="A89" s="1" t="s">
        <v>20</v>
      </c>
      <c r="B89">
        <v>1310</v>
      </c>
      <c r="C89">
        <v>2023</v>
      </c>
      <c r="D89">
        <v>73</v>
      </c>
      <c r="E89" t="s">
        <v>6</v>
      </c>
    </row>
    <row r="90" spans="1:5" x14ac:dyDescent="0.3">
      <c r="A90" s="1" t="s">
        <v>20</v>
      </c>
      <c r="B90">
        <v>1310</v>
      </c>
      <c r="C90">
        <v>2024</v>
      </c>
      <c r="D90">
        <v>73</v>
      </c>
      <c r="E90" t="s">
        <v>6</v>
      </c>
    </row>
    <row r="91" spans="1:5" x14ac:dyDescent="0.3">
      <c r="A91" s="1" t="s">
        <v>20</v>
      </c>
      <c r="B91">
        <v>1310</v>
      </c>
      <c r="C91">
        <v>2025</v>
      </c>
      <c r="D91">
        <v>73</v>
      </c>
      <c r="E91" t="s">
        <v>6</v>
      </c>
    </row>
    <row r="92" spans="1:5" x14ac:dyDescent="0.3">
      <c r="A92" s="1" t="s">
        <v>21</v>
      </c>
      <c r="B92">
        <v>1350</v>
      </c>
      <c r="C92">
        <v>2020</v>
      </c>
      <c r="D92">
        <v>44798</v>
      </c>
      <c r="E92" t="s">
        <v>6</v>
      </c>
    </row>
    <row r="93" spans="1:5" x14ac:dyDescent="0.3">
      <c r="A93" s="1" t="s">
        <v>21</v>
      </c>
      <c r="B93">
        <v>1350</v>
      </c>
      <c r="C93">
        <v>2021</v>
      </c>
      <c r="D93">
        <v>44798</v>
      </c>
      <c r="E93" t="s">
        <v>6</v>
      </c>
    </row>
    <row r="94" spans="1:5" x14ac:dyDescent="0.3">
      <c r="A94" s="1" t="s">
        <v>21</v>
      </c>
      <c r="B94">
        <v>1350</v>
      </c>
      <c r="C94">
        <v>2022</v>
      </c>
      <c r="D94">
        <v>54663</v>
      </c>
      <c r="E94" t="s">
        <v>6</v>
      </c>
    </row>
    <row r="95" spans="1:5" x14ac:dyDescent="0.3">
      <c r="A95" s="1" t="s">
        <v>21</v>
      </c>
      <c r="B95">
        <v>1350</v>
      </c>
      <c r="C95">
        <v>2023</v>
      </c>
      <c r="D95">
        <v>54663</v>
      </c>
      <c r="E95" t="s">
        <v>6</v>
      </c>
    </row>
    <row r="96" spans="1:5" x14ac:dyDescent="0.3">
      <c r="A96" s="1" t="s">
        <v>21</v>
      </c>
      <c r="B96">
        <v>1350</v>
      </c>
      <c r="C96">
        <v>2024</v>
      </c>
      <c r="D96">
        <v>54663</v>
      </c>
      <c r="E96" t="s">
        <v>6</v>
      </c>
    </row>
    <row r="97" spans="1:5" x14ac:dyDescent="0.3">
      <c r="A97" s="1" t="s">
        <v>21</v>
      </c>
      <c r="B97">
        <v>1350</v>
      </c>
      <c r="C97">
        <v>2025</v>
      </c>
      <c r="D97">
        <v>54663</v>
      </c>
      <c r="E97" t="s">
        <v>6</v>
      </c>
    </row>
    <row r="98" spans="1:5" x14ac:dyDescent="0.3">
      <c r="A98" s="1" t="s">
        <v>22</v>
      </c>
      <c r="B98">
        <v>1370</v>
      </c>
      <c r="C98">
        <v>2020</v>
      </c>
      <c r="D98">
        <v>2912763</v>
      </c>
      <c r="E98" t="s">
        <v>6</v>
      </c>
    </row>
    <row r="99" spans="1:5" x14ac:dyDescent="0.3">
      <c r="A99" s="1" t="s">
        <v>22</v>
      </c>
      <c r="B99">
        <v>1370</v>
      </c>
      <c r="C99">
        <v>2021</v>
      </c>
      <c r="D99">
        <v>3930791</v>
      </c>
      <c r="E99" t="s">
        <v>6</v>
      </c>
    </row>
    <row r="100" spans="1:5" x14ac:dyDescent="0.3">
      <c r="A100" s="1" t="s">
        <v>22</v>
      </c>
      <c r="B100">
        <v>1370</v>
      </c>
      <c r="C100">
        <v>2022</v>
      </c>
      <c r="D100">
        <v>3502804</v>
      </c>
      <c r="E100" t="s">
        <v>6</v>
      </c>
    </row>
    <row r="101" spans="1:5" x14ac:dyDescent="0.3">
      <c r="A101" s="1" t="s">
        <v>22</v>
      </c>
      <c r="B101">
        <v>1370</v>
      </c>
      <c r="C101">
        <v>2023</v>
      </c>
      <c r="D101">
        <v>3090253</v>
      </c>
      <c r="E101" t="s">
        <v>6</v>
      </c>
    </row>
    <row r="102" spans="1:5" x14ac:dyDescent="0.3">
      <c r="A102" s="1" t="s">
        <v>22</v>
      </c>
      <c r="B102">
        <v>1370</v>
      </c>
      <c r="C102">
        <v>2024</v>
      </c>
      <c r="D102">
        <v>2859850</v>
      </c>
      <c r="E102" t="s">
        <v>6</v>
      </c>
    </row>
    <row r="103" spans="1:5" x14ac:dyDescent="0.3">
      <c r="A103" s="1" t="s">
        <v>22</v>
      </c>
      <c r="B103">
        <v>1370</v>
      </c>
      <c r="C103">
        <v>2025</v>
      </c>
      <c r="D103">
        <v>2484358</v>
      </c>
      <c r="E103" t="s">
        <v>6</v>
      </c>
    </row>
    <row r="104" spans="1:5" x14ac:dyDescent="0.3">
      <c r="A104" s="1" t="s">
        <v>23</v>
      </c>
      <c r="B104">
        <v>1400</v>
      </c>
      <c r="C104">
        <v>2020</v>
      </c>
      <c r="D104">
        <v>230</v>
      </c>
      <c r="E104" t="s">
        <v>6</v>
      </c>
    </row>
    <row r="105" spans="1:5" x14ac:dyDescent="0.3">
      <c r="A105" s="1" t="s">
        <v>23</v>
      </c>
      <c r="B105">
        <v>1400</v>
      </c>
      <c r="C105">
        <v>2021</v>
      </c>
      <c r="D105">
        <v>153735</v>
      </c>
      <c r="E105" t="s">
        <v>6</v>
      </c>
    </row>
    <row r="106" spans="1:5" x14ac:dyDescent="0.3">
      <c r="A106" s="1" t="s">
        <v>23</v>
      </c>
      <c r="B106">
        <v>1400</v>
      </c>
      <c r="C106">
        <v>2022</v>
      </c>
      <c r="D106">
        <v>132813</v>
      </c>
      <c r="E106" t="s">
        <v>6</v>
      </c>
    </row>
    <row r="107" spans="1:5" x14ac:dyDescent="0.3">
      <c r="A107" s="1" t="s">
        <v>23</v>
      </c>
      <c r="B107">
        <v>1400</v>
      </c>
      <c r="C107">
        <v>2023</v>
      </c>
      <c r="D107">
        <v>590089</v>
      </c>
      <c r="E107" t="s">
        <v>6</v>
      </c>
    </row>
    <row r="108" spans="1:5" x14ac:dyDescent="0.3">
      <c r="A108" s="1" t="s">
        <v>23</v>
      </c>
      <c r="B108">
        <v>1400</v>
      </c>
      <c r="C108">
        <v>2024</v>
      </c>
      <c r="D108">
        <v>633626</v>
      </c>
      <c r="E108" t="s">
        <v>6</v>
      </c>
    </row>
    <row r="109" spans="1:5" x14ac:dyDescent="0.3">
      <c r="A109" s="1" t="s">
        <v>23</v>
      </c>
      <c r="B109">
        <v>1400</v>
      </c>
      <c r="C109">
        <v>2025</v>
      </c>
      <c r="D109">
        <v>2067866</v>
      </c>
      <c r="E109" t="s">
        <v>6</v>
      </c>
    </row>
    <row r="110" spans="1:5" x14ac:dyDescent="0.3">
      <c r="A110" s="1" t="s">
        <v>24</v>
      </c>
      <c r="B110">
        <v>1410</v>
      </c>
      <c r="C110">
        <v>2020</v>
      </c>
      <c r="D110">
        <v>0</v>
      </c>
      <c r="E110" t="s">
        <v>6</v>
      </c>
    </row>
    <row r="111" spans="1:5" x14ac:dyDescent="0.3">
      <c r="A111" s="1" t="s">
        <v>24</v>
      </c>
      <c r="B111">
        <v>1410</v>
      </c>
      <c r="C111">
        <v>2021</v>
      </c>
      <c r="D111">
        <v>120000</v>
      </c>
      <c r="E111" t="s">
        <v>6</v>
      </c>
    </row>
    <row r="112" spans="1:5" x14ac:dyDescent="0.3">
      <c r="A112" s="1" t="s">
        <v>24</v>
      </c>
      <c r="B112">
        <v>1410</v>
      </c>
      <c r="C112">
        <v>2022</v>
      </c>
      <c r="D112">
        <v>120000</v>
      </c>
      <c r="E112" t="s">
        <v>6</v>
      </c>
    </row>
    <row r="113" spans="1:5" x14ac:dyDescent="0.3">
      <c r="A113" s="1" t="s">
        <v>24</v>
      </c>
      <c r="B113">
        <v>1410</v>
      </c>
      <c r="C113">
        <v>2023</v>
      </c>
      <c r="D113">
        <v>580000</v>
      </c>
      <c r="E113" t="s">
        <v>6</v>
      </c>
    </row>
    <row r="114" spans="1:5" x14ac:dyDescent="0.3">
      <c r="A114" s="1" t="s">
        <v>24</v>
      </c>
      <c r="B114">
        <v>1410</v>
      </c>
      <c r="C114">
        <v>2024</v>
      </c>
      <c r="D114">
        <v>605000</v>
      </c>
      <c r="E114" t="s">
        <v>6</v>
      </c>
    </row>
    <row r="115" spans="1:5" x14ac:dyDescent="0.3">
      <c r="A115" s="1" t="s">
        <v>24</v>
      </c>
      <c r="B115">
        <v>1410</v>
      </c>
      <c r="C115">
        <v>2025</v>
      </c>
      <c r="D115">
        <v>2039000</v>
      </c>
      <c r="E115" t="s">
        <v>6</v>
      </c>
    </row>
    <row r="116" spans="1:5" x14ac:dyDescent="0.3">
      <c r="A116" s="1" t="s">
        <v>25</v>
      </c>
      <c r="B116">
        <v>1420</v>
      </c>
      <c r="C116">
        <v>2020</v>
      </c>
      <c r="D116">
        <v>230</v>
      </c>
      <c r="E116" t="s">
        <v>6</v>
      </c>
    </row>
    <row r="117" spans="1:5" x14ac:dyDescent="0.3">
      <c r="A117" s="1" t="s">
        <v>25</v>
      </c>
      <c r="B117">
        <v>1420</v>
      </c>
      <c r="C117">
        <v>2021</v>
      </c>
      <c r="D117">
        <v>1207</v>
      </c>
      <c r="E117" t="s">
        <v>6</v>
      </c>
    </row>
    <row r="118" spans="1:5" x14ac:dyDescent="0.3">
      <c r="A118" s="1" t="s">
        <v>25</v>
      </c>
      <c r="B118">
        <v>1420</v>
      </c>
      <c r="C118">
        <v>2022</v>
      </c>
      <c r="D118">
        <v>0</v>
      </c>
      <c r="E118" t="s">
        <v>6</v>
      </c>
    </row>
    <row r="119" spans="1:5" x14ac:dyDescent="0.3">
      <c r="A119" s="1" t="s">
        <v>25</v>
      </c>
      <c r="B119">
        <v>1420</v>
      </c>
      <c r="C119">
        <v>2023</v>
      </c>
      <c r="D119">
        <v>3476</v>
      </c>
      <c r="E119" t="s">
        <v>6</v>
      </c>
    </row>
    <row r="120" spans="1:5" x14ac:dyDescent="0.3">
      <c r="A120" s="1" t="s">
        <v>25</v>
      </c>
      <c r="B120">
        <v>1420</v>
      </c>
      <c r="C120">
        <v>2024</v>
      </c>
      <c r="D120">
        <v>7474</v>
      </c>
      <c r="E120" t="s">
        <v>6</v>
      </c>
    </row>
    <row r="121" spans="1:5" x14ac:dyDescent="0.3">
      <c r="A121" s="1" t="s">
        <v>25</v>
      </c>
      <c r="B121">
        <v>1420</v>
      </c>
      <c r="C121">
        <v>2025</v>
      </c>
      <c r="D121">
        <v>28866</v>
      </c>
      <c r="E121" t="s">
        <v>6</v>
      </c>
    </row>
    <row r="122" spans="1:5" x14ac:dyDescent="0.3">
      <c r="A122" s="1" t="s">
        <v>26</v>
      </c>
      <c r="B122">
        <v>1450</v>
      </c>
      <c r="C122">
        <v>2020</v>
      </c>
      <c r="D122">
        <v>0</v>
      </c>
      <c r="E122" t="s">
        <v>6</v>
      </c>
    </row>
    <row r="123" spans="1:5" x14ac:dyDescent="0.3">
      <c r="A123" s="1" t="s">
        <v>26</v>
      </c>
      <c r="B123">
        <v>1450</v>
      </c>
      <c r="C123">
        <v>2021</v>
      </c>
      <c r="D123">
        <v>32528</v>
      </c>
      <c r="E123" t="s">
        <v>6</v>
      </c>
    </row>
    <row r="124" spans="1:5" x14ac:dyDescent="0.3">
      <c r="A124" s="1" t="s">
        <v>26</v>
      </c>
      <c r="B124">
        <v>1450</v>
      </c>
      <c r="C124">
        <v>2022</v>
      </c>
      <c r="D124">
        <v>12813</v>
      </c>
      <c r="E124" t="s">
        <v>6</v>
      </c>
    </row>
    <row r="125" spans="1:5" x14ac:dyDescent="0.3">
      <c r="A125" s="1" t="s">
        <v>26</v>
      </c>
      <c r="B125">
        <v>1450</v>
      </c>
      <c r="C125">
        <v>2023</v>
      </c>
      <c r="D125">
        <v>6613</v>
      </c>
      <c r="E125" t="s">
        <v>6</v>
      </c>
    </row>
    <row r="126" spans="1:5" x14ac:dyDescent="0.3">
      <c r="A126" s="1" t="s">
        <v>26</v>
      </c>
      <c r="B126">
        <v>1450</v>
      </c>
      <c r="C126">
        <v>2024</v>
      </c>
      <c r="D126">
        <v>21152</v>
      </c>
      <c r="E126" t="s">
        <v>6</v>
      </c>
    </row>
    <row r="127" spans="1:5" x14ac:dyDescent="0.3">
      <c r="A127" s="1" t="s">
        <v>26</v>
      </c>
      <c r="B127">
        <v>1450</v>
      </c>
      <c r="C127">
        <v>2025</v>
      </c>
      <c r="D127">
        <v>0</v>
      </c>
      <c r="E127" t="s">
        <v>6</v>
      </c>
    </row>
    <row r="128" spans="1:5" x14ac:dyDescent="0.3">
      <c r="A128" s="1" t="s">
        <v>27</v>
      </c>
      <c r="B128">
        <v>1500</v>
      </c>
      <c r="C128">
        <v>2020</v>
      </c>
      <c r="D128">
        <v>61121</v>
      </c>
      <c r="E128" t="s">
        <v>6</v>
      </c>
    </row>
    <row r="129" spans="1:5" x14ac:dyDescent="0.3">
      <c r="A129" s="1" t="s">
        <v>27</v>
      </c>
      <c r="B129">
        <v>1500</v>
      </c>
      <c r="C129">
        <v>2021</v>
      </c>
      <c r="D129">
        <v>316336</v>
      </c>
      <c r="E129" t="s">
        <v>6</v>
      </c>
    </row>
    <row r="130" spans="1:5" x14ac:dyDescent="0.3">
      <c r="A130" s="1" t="s">
        <v>27</v>
      </c>
      <c r="B130">
        <v>1500</v>
      </c>
      <c r="C130">
        <v>2022</v>
      </c>
      <c r="D130">
        <v>279505</v>
      </c>
      <c r="E130" t="s">
        <v>6</v>
      </c>
    </row>
    <row r="131" spans="1:5" x14ac:dyDescent="0.3">
      <c r="A131" s="1" t="s">
        <v>27</v>
      </c>
      <c r="B131">
        <v>1500</v>
      </c>
      <c r="C131">
        <v>2023</v>
      </c>
      <c r="D131">
        <v>248420</v>
      </c>
      <c r="E131" t="s">
        <v>6</v>
      </c>
    </row>
    <row r="132" spans="1:5" x14ac:dyDescent="0.3">
      <c r="A132" s="1" t="s">
        <v>27</v>
      </c>
      <c r="B132">
        <v>1500</v>
      </c>
      <c r="C132">
        <v>2024</v>
      </c>
      <c r="D132">
        <v>739267</v>
      </c>
      <c r="E132" t="s">
        <v>6</v>
      </c>
    </row>
    <row r="133" spans="1:5" x14ac:dyDescent="0.3">
      <c r="A133" s="1" t="s">
        <v>27</v>
      </c>
      <c r="B133">
        <v>1500</v>
      </c>
      <c r="C133">
        <v>2025</v>
      </c>
      <c r="D133">
        <v>1341796</v>
      </c>
      <c r="E133" t="s">
        <v>6</v>
      </c>
    </row>
    <row r="134" spans="1:5" x14ac:dyDescent="0.3">
      <c r="A134" s="1" t="s">
        <v>24</v>
      </c>
      <c r="B134">
        <v>1510</v>
      </c>
      <c r="C134">
        <v>2020</v>
      </c>
      <c r="D134">
        <v>0</v>
      </c>
      <c r="E134" t="s">
        <v>6</v>
      </c>
    </row>
    <row r="135" spans="1:5" x14ac:dyDescent="0.3">
      <c r="A135" s="1" t="s">
        <v>24</v>
      </c>
      <c r="B135">
        <v>1510</v>
      </c>
      <c r="C135">
        <v>2021</v>
      </c>
      <c r="D135">
        <v>0</v>
      </c>
      <c r="E135" t="s">
        <v>6</v>
      </c>
    </row>
    <row r="136" spans="1:5" x14ac:dyDescent="0.3">
      <c r="A136" s="1" t="s">
        <v>24</v>
      </c>
      <c r="B136">
        <v>1510</v>
      </c>
      <c r="C136">
        <v>2022</v>
      </c>
      <c r="D136">
        <v>0</v>
      </c>
      <c r="E136" t="s">
        <v>6</v>
      </c>
    </row>
    <row r="137" spans="1:5" x14ac:dyDescent="0.3">
      <c r="A137" s="1" t="s">
        <v>24</v>
      </c>
      <c r="B137">
        <v>1510</v>
      </c>
      <c r="C137">
        <v>2023</v>
      </c>
      <c r="D137">
        <v>0</v>
      </c>
      <c r="E137" t="s">
        <v>6</v>
      </c>
    </row>
    <row r="138" spans="1:5" x14ac:dyDescent="0.3">
      <c r="A138" s="1" t="s">
        <v>24</v>
      </c>
      <c r="B138">
        <v>1510</v>
      </c>
      <c r="C138">
        <v>2024</v>
      </c>
      <c r="D138">
        <v>0</v>
      </c>
      <c r="E138" t="s">
        <v>6</v>
      </c>
    </row>
    <row r="139" spans="1:5" x14ac:dyDescent="0.3">
      <c r="A139" s="1" t="s">
        <v>24</v>
      </c>
      <c r="B139">
        <v>1510</v>
      </c>
      <c r="C139">
        <v>2025</v>
      </c>
      <c r="D139">
        <v>0</v>
      </c>
      <c r="E139" t="s">
        <v>6</v>
      </c>
    </row>
    <row r="140" spans="1:5" x14ac:dyDescent="0.3">
      <c r="A140" s="1" t="s">
        <v>28</v>
      </c>
      <c r="B140">
        <v>1520</v>
      </c>
      <c r="C140">
        <v>2020</v>
      </c>
      <c r="D140">
        <v>31177</v>
      </c>
      <c r="E140" t="s">
        <v>6</v>
      </c>
    </row>
    <row r="141" spans="1:5" x14ac:dyDescent="0.3">
      <c r="A141" s="1" t="s">
        <v>28</v>
      </c>
      <c r="B141">
        <v>1520</v>
      </c>
      <c r="C141">
        <v>2021</v>
      </c>
      <c r="D141">
        <v>286098</v>
      </c>
      <c r="E141" t="s">
        <v>6</v>
      </c>
    </row>
    <row r="142" spans="1:5" x14ac:dyDescent="0.3">
      <c r="A142" s="1" t="s">
        <v>28</v>
      </c>
      <c r="B142">
        <v>1520</v>
      </c>
      <c r="C142">
        <v>2022</v>
      </c>
      <c r="D142">
        <v>237311</v>
      </c>
      <c r="E142" t="s">
        <v>6</v>
      </c>
    </row>
    <row r="143" spans="1:5" x14ac:dyDescent="0.3">
      <c r="A143" s="1" t="s">
        <v>28</v>
      </c>
      <c r="B143">
        <v>1520</v>
      </c>
      <c r="C143">
        <v>2023</v>
      </c>
      <c r="D143">
        <v>190284</v>
      </c>
      <c r="E143" t="s">
        <v>6</v>
      </c>
    </row>
    <row r="144" spans="1:5" x14ac:dyDescent="0.3">
      <c r="A144" s="1" t="s">
        <v>28</v>
      </c>
      <c r="B144">
        <v>1520</v>
      </c>
      <c r="C144">
        <v>2024</v>
      </c>
      <c r="D144">
        <v>666648</v>
      </c>
      <c r="E144" t="s">
        <v>6</v>
      </c>
    </row>
    <row r="145" spans="1:5" x14ac:dyDescent="0.3">
      <c r="A145" s="1" t="s">
        <v>28</v>
      </c>
      <c r="B145">
        <v>1520</v>
      </c>
      <c r="C145">
        <v>2025</v>
      </c>
      <c r="D145">
        <v>1228249</v>
      </c>
      <c r="E145" t="s">
        <v>6</v>
      </c>
    </row>
    <row r="146" spans="1:5" x14ac:dyDescent="0.3">
      <c r="A146" s="1" t="s">
        <v>29</v>
      </c>
      <c r="B146">
        <v>1540</v>
      </c>
      <c r="C146">
        <v>2020</v>
      </c>
      <c r="D146">
        <v>29924</v>
      </c>
      <c r="E146" t="s">
        <v>6</v>
      </c>
    </row>
    <row r="147" spans="1:5" x14ac:dyDescent="0.3">
      <c r="A147" s="1" t="s">
        <v>29</v>
      </c>
      <c r="B147">
        <v>1540</v>
      </c>
      <c r="C147">
        <v>2021</v>
      </c>
      <c r="D147">
        <v>30222</v>
      </c>
      <c r="E147" t="s">
        <v>6</v>
      </c>
    </row>
    <row r="148" spans="1:5" x14ac:dyDescent="0.3">
      <c r="A148" s="1" t="s">
        <v>29</v>
      </c>
      <c r="B148">
        <v>1540</v>
      </c>
      <c r="C148">
        <v>2022</v>
      </c>
      <c r="D148">
        <v>42185</v>
      </c>
      <c r="E148" t="s">
        <v>6</v>
      </c>
    </row>
    <row r="149" spans="1:5" x14ac:dyDescent="0.3">
      <c r="A149" s="1" t="s">
        <v>29</v>
      </c>
      <c r="B149">
        <v>1540</v>
      </c>
      <c r="C149">
        <v>2023</v>
      </c>
      <c r="D149">
        <v>58126</v>
      </c>
      <c r="E149" t="s">
        <v>6</v>
      </c>
    </row>
    <row r="150" spans="1:5" x14ac:dyDescent="0.3">
      <c r="A150" s="1" t="s">
        <v>29</v>
      </c>
      <c r="B150">
        <v>1540</v>
      </c>
      <c r="C150">
        <v>2024</v>
      </c>
      <c r="D150">
        <v>71456</v>
      </c>
      <c r="E150" t="s">
        <v>6</v>
      </c>
    </row>
    <row r="151" spans="1:5" x14ac:dyDescent="0.3">
      <c r="A151" s="1" t="s">
        <v>29</v>
      </c>
      <c r="B151">
        <v>1540</v>
      </c>
      <c r="C151">
        <v>2025</v>
      </c>
      <c r="D151">
        <v>81334</v>
      </c>
      <c r="E151" t="s">
        <v>6</v>
      </c>
    </row>
    <row r="152" spans="1:5" x14ac:dyDescent="0.3">
      <c r="A152" s="1" t="s">
        <v>26</v>
      </c>
      <c r="B152">
        <v>1550</v>
      </c>
      <c r="C152">
        <v>2020</v>
      </c>
      <c r="D152">
        <v>20</v>
      </c>
      <c r="E152" t="s">
        <v>6</v>
      </c>
    </row>
    <row r="153" spans="1:5" x14ac:dyDescent="0.3">
      <c r="A153" s="1" t="s">
        <v>26</v>
      </c>
      <c r="B153">
        <v>1550</v>
      </c>
      <c r="C153">
        <v>2021</v>
      </c>
      <c r="D153">
        <v>16</v>
      </c>
      <c r="E153" t="s">
        <v>6</v>
      </c>
    </row>
    <row r="154" spans="1:5" x14ac:dyDescent="0.3">
      <c r="A154" s="1" t="s">
        <v>26</v>
      </c>
      <c r="B154">
        <v>1550</v>
      </c>
      <c r="C154">
        <v>2022</v>
      </c>
      <c r="D154">
        <v>9</v>
      </c>
      <c r="E154" t="s">
        <v>6</v>
      </c>
    </row>
    <row r="155" spans="1:5" x14ac:dyDescent="0.3">
      <c r="A155" s="1" t="s">
        <v>26</v>
      </c>
      <c r="B155">
        <v>1550</v>
      </c>
      <c r="C155">
        <v>2023</v>
      </c>
      <c r="D155">
        <v>10</v>
      </c>
      <c r="E155" t="s">
        <v>6</v>
      </c>
    </row>
    <row r="156" spans="1:5" x14ac:dyDescent="0.3">
      <c r="A156" s="1" t="s">
        <v>26</v>
      </c>
      <c r="B156">
        <v>1550</v>
      </c>
      <c r="C156">
        <v>2024</v>
      </c>
      <c r="D156">
        <v>1163</v>
      </c>
      <c r="E156" t="s">
        <v>6</v>
      </c>
    </row>
    <row r="157" spans="1:5" x14ac:dyDescent="0.3">
      <c r="A157" s="1" t="s">
        <v>26</v>
      </c>
      <c r="B157">
        <v>1550</v>
      </c>
      <c r="C157">
        <v>2025</v>
      </c>
      <c r="D157">
        <v>442</v>
      </c>
      <c r="E157" t="s">
        <v>6</v>
      </c>
    </row>
    <row r="158" spans="1:5" x14ac:dyDescent="0.3">
      <c r="A158" s="1" t="s">
        <v>30</v>
      </c>
      <c r="B158">
        <v>1600</v>
      </c>
      <c r="C158">
        <v>2020</v>
      </c>
      <c r="D158">
        <v>3018985</v>
      </c>
      <c r="E158" t="s">
        <v>6</v>
      </c>
    </row>
    <row r="159" spans="1:5" x14ac:dyDescent="0.3">
      <c r="A159" s="1" t="s">
        <v>30</v>
      </c>
      <c r="B159">
        <v>1600</v>
      </c>
      <c r="C159">
        <v>2021</v>
      </c>
      <c r="D159">
        <v>4445733</v>
      </c>
      <c r="E159" t="s">
        <v>6</v>
      </c>
    </row>
    <row r="160" spans="1:5" x14ac:dyDescent="0.3">
      <c r="A160" s="1" t="s">
        <v>30</v>
      </c>
      <c r="B160">
        <v>1600</v>
      </c>
      <c r="C160">
        <v>2022</v>
      </c>
      <c r="D160">
        <v>3969858</v>
      </c>
      <c r="E160" t="s">
        <v>6</v>
      </c>
    </row>
    <row r="161" spans="1:5" x14ac:dyDescent="0.3">
      <c r="A161" s="1" t="s">
        <v>30</v>
      </c>
      <c r="B161">
        <v>1600</v>
      </c>
      <c r="C161">
        <v>2023</v>
      </c>
      <c r="D161">
        <v>3983498</v>
      </c>
      <c r="E161" t="s">
        <v>6</v>
      </c>
    </row>
    <row r="162" spans="1:5" x14ac:dyDescent="0.3">
      <c r="A162" s="1" t="s">
        <v>30</v>
      </c>
      <c r="B162">
        <v>1600</v>
      </c>
      <c r="C162">
        <v>2024</v>
      </c>
      <c r="D162">
        <v>4287479</v>
      </c>
      <c r="E162" t="s">
        <v>6</v>
      </c>
    </row>
    <row r="163" spans="1:5" x14ac:dyDescent="0.3">
      <c r="A163" s="1" t="s">
        <v>30</v>
      </c>
      <c r="B163">
        <v>1600</v>
      </c>
      <c r="C163">
        <v>2025</v>
      </c>
      <c r="D163">
        <v>5948756</v>
      </c>
      <c r="E163" t="s">
        <v>6</v>
      </c>
    </row>
    <row r="164" spans="1:5" x14ac:dyDescent="0.3">
      <c r="A164" s="1" t="s">
        <v>31</v>
      </c>
      <c r="B164">
        <v>1700</v>
      </c>
      <c r="C164">
        <v>2020</v>
      </c>
      <c r="D164">
        <v>3018985</v>
      </c>
      <c r="E164" t="s">
        <v>6</v>
      </c>
    </row>
    <row r="165" spans="1:5" x14ac:dyDescent="0.3">
      <c r="A165" s="1" t="s">
        <v>31</v>
      </c>
      <c r="B165">
        <v>1700</v>
      </c>
      <c r="C165">
        <v>2021</v>
      </c>
      <c r="D165">
        <v>4445733</v>
      </c>
      <c r="E165" t="s">
        <v>6</v>
      </c>
    </row>
    <row r="166" spans="1:5" x14ac:dyDescent="0.3">
      <c r="A166" s="1" t="s">
        <v>31</v>
      </c>
      <c r="B166">
        <v>1700</v>
      </c>
      <c r="C166">
        <v>2022</v>
      </c>
      <c r="D166">
        <v>3969858</v>
      </c>
      <c r="E166" t="s">
        <v>6</v>
      </c>
    </row>
    <row r="167" spans="1:5" x14ac:dyDescent="0.3">
      <c r="A167" s="1" t="s">
        <v>31</v>
      </c>
      <c r="B167">
        <v>1700</v>
      </c>
      <c r="C167">
        <v>2023</v>
      </c>
      <c r="D167">
        <v>3983498</v>
      </c>
      <c r="E167" t="s">
        <v>6</v>
      </c>
    </row>
    <row r="168" spans="1:5" x14ac:dyDescent="0.3">
      <c r="A168" s="1" t="s">
        <v>31</v>
      </c>
      <c r="B168">
        <v>1700</v>
      </c>
      <c r="C168">
        <v>2024</v>
      </c>
      <c r="D168">
        <v>4287479</v>
      </c>
      <c r="E168" t="s">
        <v>6</v>
      </c>
    </row>
    <row r="169" spans="1:5" x14ac:dyDescent="0.3">
      <c r="A169" s="1" t="s">
        <v>31</v>
      </c>
      <c r="B169">
        <v>1700</v>
      </c>
      <c r="C169">
        <v>2025</v>
      </c>
      <c r="D169">
        <v>5948756</v>
      </c>
      <c r="E169" t="s">
        <v>6</v>
      </c>
    </row>
    <row r="170" spans="1:5" x14ac:dyDescent="0.3">
      <c r="A170" s="1" t="s">
        <v>32</v>
      </c>
      <c r="B170">
        <v>2100</v>
      </c>
      <c r="C170">
        <v>2020</v>
      </c>
      <c r="D170">
        <v>1741707</v>
      </c>
      <c r="E170" t="s">
        <v>33</v>
      </c>
    </row>
    <row r="171" spans="1:5" x14ac:dyDescent="0.3">
      <c r="A171" s="1" t="s">
        <v>32</v>
      </c>
      <c r="B171">
        <v>2100</v>
      </c>
      <c r="C171">
        <v>2021</v>
      </c>
      <c r="D171">
        <v>1881930</v>
      </c>
      <c r="E171" t="s">
        <v>33</v>
      </c>
    </row>
    <row r="172" spans="1:5" x14ac:dyDescent="0.3">
      <c r="A172" s="1" t="s">
        <v>32</v>
      </c>
      <c r="B172">
        <v>2100</v>
      </c>
      <c r="C172">
        <v>2022</v>
      </c>
      <c r="D172">
        <v>2019923</v>
      </c>
      <c r="E172" t="s">
        <v>33</v>
      </c>
    </row>
    <row r="173" spans="1:5" x14ac:dyDescent="0.3">
      <c r="A173" s="1" t="s">
        <v>32</v>
      </c>
      <c r="B173">
        <v>2100</v>
      </c>
      <c r="C173">
        <v>2023</v>
      </c>
      <c r="D173">
        <v>2863487</v>
      </c>
      <c r="E173" t="s">
        <v>33</v>
      </c>
    </row>
    <row r="174" spans="1:5" x14ac:dyDescent="0.3">
      <c r="A174" s="1" t="s">
        <v>32</v>
      </c>
      <c r="B174">
        <v>2100</v>
      </c>
      <c r="C174">
        <v>2024</v>
      </c>
      <c r="D174">
        <v>3243043</v>
      </c>
      <c r="E174" t="s">
        <v>33</v>
      </c>
    </row>
    <row r="175" spans="1:5" x14ac:dyDescent="0.3">
      <c r="A175" s="1" t="s">
        <v>32</v>
      </c>
      <c r="B175">
        <v>2100</v>
      </c>
      <c r="C175">
        <v>2025</v>
      </c>
      <c r="D175">
        <v>1550185</v>
      </c>
      <c r="E175" t="s">
        <v>33</v>
      </c>
    </row>
    <row r="176" spans="1:5" x14ac:dyDescent="0.3">
      <c r="A176" s="1" t="s">
        <v>34</v>
      </c>
      <c r="B176">
        <v>2110</v>
      </c>
      <c r="C176">
        <v>2020</v>
      </c>
      <c r="D176">
        <v>2536151</v>
      </c>
      <c r="E176" t="s">
        <v>33</v>
      </c>
    </row>
    <row r="177" spans="1:5" x14ac:dyDescent="0.3">
      <c r="A177" s="1" t="s">
        <v>34</v>
      </c>
      <c r="B177">
        <v>2110</v>
      </c>
      <c r="C177">
        <v>2021</v>
      </c>
      <c r="D177">
        <v>2532640</v>
      </c>
      <c r="E177" t="s">
        <v>33</v>
      </c>
    </row>
    <row r="178" spans="1:5" x14ac:dyDescent="0.3">
      <c r="A178" s="1" t="s">
        <v>34</v>
      </c>
      <c r="B178">
        <v>2110</v>
      </c>
      <c r="C178">
        <v>2022</v>
      </c>
      <c r="D178">
        <v>2541046</v>
      </c>
      <c r="E178" t="s">
        <v>33</v>
      </c>
    </row>
    <row r="179" spans="1:5" x14ac:dyDescent="0.3">
      <c r="A179" s="1" t="s">
        <v>34</v>
      </c>
      <c r="B179">
        <v>2110</v>
      </c>
      <c r="C179">
        <v>2023</v>
      </c>
      <c r="D179">
        <v>3123853</v>
      </c>
      <c r="E179" t="s">
        <v>33</v>
      </c>
    </row>
    <row r="180" spans="1:5" x14ac:dyDescent="0.3">
      <c r="A180" s="1" t="s">
        <v>34</v>
      </c>
      <c r="B180">
        <v>2110</v>
      </c>
      <c r="C180">
        <v>2024</v>
      </c>
      <c r="D180">
        <v>3520647</v>
      </c>
      <c r="E180" t="s">
        <v>33</v>
      </c>
    </row>
    <row r="181" spans="1:5" x14ac:dyDescent="0.3">
      <c r="A181" s="1" t="s">
        <v>34</v>
      </c>
      <c r="B181">
        <v>2110</v>
      </c>
      <c r="C181">
        <v>2025</v>
      </c>
      <c r="D181">
        <v>3589154</v>
      </c>
      <c r="E181" t="s">
        <v>33</v>
      </c>
    </row>
    <row r="182" spans="1:5" x14ac:dyDescent="0.3">
      <c r="A182" s="1" t="s">
        <v>35</v>
      </c>
      <c r="B182">
        <v>2120</v>
      </c>
      <c r="C182">
        <v>2020</v>
      </c>
      <c r="D182">
        <v>-794444</v>
      </c>
      <c r="E182" t="s">
        <v>33</v>
      </c>
    </row>
    <row r="183" spans="1:5" x14ac:dyDescent="0.3">
      <c r="A183" s="1" t="s">
        <v>35</v>
      </c>
      <c r="B183">
        <v>2120</v>
      </c>
      <c r="C183">
        <v>2021</v>
      </c>
      <c r="D183">
        <v>-650710</v>
      </c>
      <c r="E183" t="s">
        <v>33</v>
      </c>
    </row>
    <row r="184" spans="1:5" x14ac:dyDescent="0.3">
      <c r="A184" s="1" t="s">
        <v>35</v>
      </c>
      <c r="B184">
        <v>2120</v>
      </c>
      <c r="C184">
        <v>2022</v>
      </c>
      <c r="D184">
        <v>-521123</v>
      </c>
      <c r="E184" t="s">
        <v>33</v>
      </c>
    </row>
    <row r="185" spans="1:5" x14ac:dyDescent="0.3">
      <c r="A185" s="1" t="s">
        <v>35</v>
      </c>
      <c r="B185">
        <v>2120</v>
      </c>
      <c r="C185">
        <v>2023</v>
      </c>
      <c r="D185">
        <v>-260366</v>
      </c>
      <c r="E185" t="s">
        <v>33</v>
      </c>
    </row>
    <row r="186" spans="1:5" x14ac:dyDescent="0.3">
      <c r="A186" s="1" t="s">
        <v>35</v>
      </c>
      <c r="B186">
        <v>2120</v>
      </c>
      <c r="C186">
        <v>2024</v>
      </c>
      <c r="D186">
        <v>-277604</v>
      </c>
      <c r="E186" t="s">
        <v>33</v>
      </c>
    </row>
    <row r="187" spans="1:5" x14ac:dyDescent="0.3">
      <c r="A187" s="1" t="s">
        <v>35</v>
      </c>
      <c r="B187">
        <v>2120</v>
      </c>
      <c r="C187">
        <v>2025</v>
      </c>
      <c r="D187">
        <v>-2038969</v>
      </c>
      <c r="E187" t="s">
        <v>33</v>
      </c>
    </row>
    <row r="188" spans="1:5" x14ac:dyDescent="0.3">
      <c r="A188" s="1" t="s">
        <v>36</v>
      </c>
      <c r="B188">
        <v>2200</v>
      </c>
      <c r="C188">
        <v>2020</v>
      </c>
      <c r="D188">
        <v>1062847</v>
      </c>
      <c r="E188" t="s">
        <v>33</v>
      </c>
    </row>
    <row r="189" spans="1:5" x14ac:dyDescent="0.3">
      <c r="A189" s="1" t="s">
        <v>36</v>
      </c>
      <c r="B189">
        <v>2200</v>
      </c>
      <c r="C189">
        <v>2021</v>
      </c>
      <c r="D189">
        <v>977340</v>
      </c>
      <c r="E189" t="s">
        <v>33</v>
      </c>
    </row>
    <row r="190" spans="1:5" x14ac:dyDescent="0.3">
      <c r="A190" s="1" t="s">
        <v>36</v>
      </c>
      <c r="B190">
        <v>2200</v>
      </c>
      <c r="C190">
        <v>2022</v>
      </c>
      <c r="D190">
        <v>770995</v>
      </c>
      <c r="E190" t="s">
        <v>33</v>
      </c>
    </row>
    <row r="191" spans="1:5" x14ac:dyDescent="0.3">
      <c r="A191" s="1" t="s">
        <v>36</v>
      </c>
      <c r="B191">
        <v>2200</v>
      </c>
      <c r="C191">
        <v>2023</v>
      </c>
      <c r="D191">
        <v>736690</v>
      </c>
      <c r="E191" t="s">
        <v>33</v>
      </c>
    </row>
    <row r="192" spans="1:5" x14ac:dyDescent="0.3">
      <c r="A192" s="1" t="s">
        <v>36</v>
      </c>
      <c r="B192">
        <v>2200</v>
      </c>
      <c r="C192">
        <v>2024</v>
      </c>
      <c r="D192">
        <v>825793</v>
      </c>
      <c r="E192" t="s">
        <v>33</v>
      </c>
    </row>
    <row r="193" spans="1:5" x14ac:dyDescent="0.3">
      <c r="A193" s="1" t="s">
        <v>36</v>
      </c>
      <c r="B193">
        <v>2200</v>
      </c>
      <c r="C193">
        <v>2025</v>
      </c>
      <c r="D193">
        <v>591644</v>
      </c>
      <c r="E193" t="s">
        <v>33</v>
      </c>
    </row>
    <row r="194" spans="1:5" x14ac:dyDescent="0.3">
      <c r="A194" s="1" t="s">
        <v>37</v>
      </c>
      <c r="B194">
        <v>2210</v>
      </c>
      <c r="C194">
        <v>2020</v>
      </c>
      <c r="D194">
        <v>-124</v>
      </c>
      <c r="E194" t="s">
        <v>33</v>
      </c>
    </row>
    <row r="195" spans="1:5" x14ac:dyDescent="0.3">
      <c r="A195" s="1" t="s">
        <v>37</v>
      </c>
      <c r="B195">
        <v>2210</v>
      </c>
      <c r="C195">
        <v>2021</v>
      </c>
      <c r="D195">
        <v>-9</v>
      </c>
      <c r="E195" t="s">
        <v>33</v>
      </c>
    </row>
    <row r="196" spans="1:5" x14ac:dyDescent="0.3">
      <c r="A196" s="1" t="s">
        <v>37</v>
      </c>
      <c r="B196">
        <v>2210</v>
      </c>
      <c r="C196">
        <v>2022</v>
      </c>
      <c r="D196">
        <v>-5</v>
      </c>
      <c r="E196" t="s">
        <v>33</v>
      </c>
    </row>
    <row r="197" spans="1:5" x14ac:dyDescent="0.3">
      <c r="A197" s="1" t="s">
        <v>37</v>
      </c>
      <c r="B197">
        <v>2210</v>
      </c>
      <c r="C197">
        <v>2023</v>
      </c>
      <c r="D197">
        <v>-6</v>
      </c>
      <c r="E197" t="s">
        <v>33</v>
      </c>
    </row>
    <row r="198" spans="1:5" x14ac:dyDescent="0.3">
      <c r="A198" s="1" t="s">
        <v>37</v>
      </c>
      <c r="B198">
        <v>2210</v>
      </c>
      <c r="C198">
        <v>2024</v>
      </c>
      <c r="D198">
        <v>-3</v>
      </c>
      <c r="E198" t="s">
        <v>33</v>
      </c>
    </row>
    <row r="199" spans="1:5" x14ac:dyDescent="0.3">
      <c r="A199" s="1" t="s">
        <v>37</v>
      </c>
      <c r="B199">
        <v>2210</v>
      </c>
      <c r="C199">
        <v>2025</v>
      </c>
      <c r="D199">
        <v>-7</v>
      </c>
      <c r="E199" t="s">
        <v>33</v>
      </c>
    </row>
    <row r="200" spans="1:5" x14ac:dyDescent="0.3">
      <c r="A200" s="1" t="s">
        <v>38</v>
      </c>
      <c r="B200">
        <v>2220</v>
      </c>
      <c r="C200">
        <v>2020</v>
      </c>
      <c r="D200">
        <v>-678736</v>
      </c>
      <c r="E200" t="s">
        <v>33</v>
      </c>
    </row>
    <row r="201" spans="1:5" x14ac:dyDescent="0.3">
      <c r="A201" s="1" t="s">
        <v>38</v>
      </c>
      <c r="B201">
        <v>2220</v>
      </c>
      <c r="C201">
        <v>2021</v>
      </c>
      <c r="D201">
        <v>-904581</v>
      </c>
      <c r="E201" t="s">
        <v>33</v>
      </c>
    </row>
    <row r="202" spans="1:5" x14ac:dyDescent="0.3">
      <c r="A202" s="1" t="s">
        <v>38</v>
      </c>
      <c r="B202">
        <v>2220</v>
      </c>
      <c r="C202">
        <v>2022</v>
      </c>
      <c r="D202">
        <v>-1248923</v>
      </c>
      <c r="E202" t="s">
        <v>33</v>
      </c>
    </row>
    <row r="203" spans="1:5" x14ac:dyDescent="0.3">
      <c r="A203" s="1" t="s">
        <v>38</v>
      </c>
      <c r="B203">
        <v>2220</v>
      </c>
      <c r="C203">
        <v>2023</v>
      </c>
      <c r="D203">
        <v>-2126791</v>
      </c>
      <c r="E203" t="s">
        <v>33</v>
      </c>
    </row>
    <row r="204" spans="1:5" x14ac:dyDescent="0.3">
      <c r="A204" s="1" t="s">
        <v>38</v>
      </c>
      <c r="B204">
        <v>2220</v>
      </c>
      <c r="C204">
        <v>2024</v>
      </c>
      <c r="D204">
        <v>-2417247</v>
      </c>
      <c r="E204" t="s">
        <v>33</v>
      </c>
    </row>
    <row r="205" spans="1:5" x14ac:dyDescent="0.3">
      <c r="A205" s="1" t="s">
        <v>38</v>
      </c>
      <c r="B205">
        <v>2220</v>
      </c>
      <c r="C205">
        <v>2025</v>
      </c>
      <c r="D205">
        <v>-958534</v>
      </c>
      <c r="E205" t="s">
        <v>33</v>
      </c>
    </row>
    <row r="206" spans="1:5" x14ac:dyDescent="0.3">
      <c r="A206" s="1" t="s">
        <v>39</v>
      </c>
      <c r="B206">
        <v>2300</v>
      </c>
      <c r="C206">
        <v>2020</v>
      </c>
      <c r="D206">
        <v>1271085</v>
      </c>
      <c r="E206" t="s">
        <v>33</v>
      </c>
    </row>
    <row r="207" spans="1:5" x14ac:dyDescent="0.3">
      <c r="A207" s="1" t="s">
        <v>39</v>
      </c>
      <c r="B207">
        <v>2300</v>
      </c>
      <c r="C207">
        <v>2021</v>
      </c>
      <c r="D207">
        <v>1083067</v>
      </c>
      <c r="E207" t="s">
        <v>33</v>
      </c>
    </row>
    <row r="208" spans="1:5" x14ac:dyDescent="0.3">
      <c r="A208" s="1" t="s">
        <v>39</v>
      </c>
      <c r="B208">
        <v>2300</v>
      </c>
      <c r="C208">
        <v>2022</v>
      </c>
      <c r="D208">
        <v>126902</v>
      </c>
      <c r="E208" t="s">
        <v>33</v>
      </c>
    </row>
    <row r="209" spans="1:5" x14ac:dyDescent="0.3">
      <c r="A209" s="1" t="s">
        <v>39</v>
      </c>
      <c r="B209">
        <v>2300</v>
      </c>
      <c r="C209">
        <v>2023</v>
      </c>
      <c r="D209">
        <v>938020</v>
      </c>
      <c r="E209" t="s">
        <v>33</v>
      </c>
    </row>
    <row r="210" spans="1:5" x14ac:dyDescent="0.3">
      <c r="A210" s="1" t="s">
        <v>39</v>
      </c>
      <c r="B210">
        <v>2300</v>
      </c>
      <c r="C210">
        <v>2024</v>
      </c>
      <c r="D210">
        <v>9618</v>
      </c>
      <c r="E210" t="s">
        <v>33</v>
      </c>
    </row>
    <row r="211" spans="1:5" x14ac:dyDescent="0.3">
      <c r="A211" s="1" t="s">
        <v>39</v>
      </c>
      <c r="B211">
        <v>2300</v>
      </c>
      <c r="C211">
        <v>2025</v>
      </c>
      <c r="D211">
        <v>247040</v>
      </c>
      <c r="E211" t="s">
        <v>33</v>
      </c>
    </row>
    <row r="212" spans="1:5" x14ac:dyDescent="0.3">
      <c r="A212" s="1" t="s">
        <v>40</v>
      </c>
      <c r="B212">
        <v>2310</v>
      </c>
      <c r="C212">
        <v>2020</v>
      </c>
      <c r="D212">
        <v>0</v>
      </c>
      <c r="E212" t="s">
        <v>33</v>
      </c>
    </row>
    <row r="213" spans="1:5" x14ac:dyDescent="0.3">
      <c r="A213" s="1" t="s">
        <v>40</v>
      </c>
      <c r="B213">
        <v>2310</v>
      </c>
      <c r="C213">
        <v>2021</v>
      </c>
      <c r="D213">
        <v>107632</v>
      </c>
      <c r="E213" t="s">
        <v>33</v>
      </c>
    </row>
    <row r="214" spans="1:5" x14ac:dyDescent="0.3">
      <c r="A214" s="1" t="s">
        <v>40</v>
      </c>
      <c r="B214">
        <v>2310</v>
      </c>
      <c r="C214">
        <v>2022</v>
      </c>
      <c r="D214">
        <v>33</v>
      </c>
      <c r="E214" t="s">
        <v>33</v>
      </c>
    </row>
    <row r="215" spans="1:5" x14ac:dyDescent="0.3">
      <c r="A215" s="1" t="s">
        <v>40</v>
      </c>
      <c r="B215">
        <v>2310</v>
      </c>
      <c r="C215">
        <v>2023</v>
      </c>
      <c r="D215">
        <v>9006</v>
      </c>
      <c r="E215" t="s">
        <v>33</v>
      </c>
    </row>
    <row r="216" spans="1:5" x14ac:dyDescent="0.3">
      <c r="A216" s="1" t="s">
        <v>40</v>
      </c>
      <c r="B216">
        <v>2310</v>
      </c>
      <c r="C216">
        <v>2024</v>
      </c>
      <c r="D216">
        <v>0</v>
      </c>
      <c r="E216" t="s">
        <v>33</v>
      </c>
    </row>
    <row r="217" spans="1:5" x14ac:dyDescent="0.3">
      <c r="A217" s="1" t="s">
        <v>40</v>
      </c>
      <c r="B217">
        <v>2310</v>
      </c>
      <c r="C217">
        <v>2025</v>
      </c>
      <c r="D217">
        <v>25513</v>
      </c>
      <c r="E217" t="s">
        <v>33</v>
      </c>
    </row>
    <row r="218" spans="1:5" x14ac:dyDescent="0.3">
      <c r="A218" s="1" t="s">
        <v>41</v>
      </c>
      <c r="B218">
        <v>2320</v>
      </c>
      <c r="C218">
        <v>2020</v>
      </c>
      <c r="D218">
        <v>8669</v>
      </c>
      <c r="E218" t="s">
        <v>33</v>
      </c>
    </row>
    <row r="219" spans="1:5" x14ac:dyDescent="0.3">
      <c r="A219" s="1" t="s">
        <v>41</v>
      </c>
      <c r="B219">
        <v>2320</v>
      </c>
      <c r="C219">
        <v>2021</v>
      </c>
      <c r="D219">
        <v>4869</v>
      </c>
      <c r="E219" t="s">
        <v>33</v>
      </c>
    </row>
    <row r="220" spans="1:5" x14ac:dyDescent="0.3">
      <c r="A220" s="1" t="s">
        <v>41</v>
      </c>
      <c r="B220">
        <v>2320</v>
      </c>
      <c r="C220">
        <v>2022</v>
      </c>
      <c r="D220">
        <v>4653</v>
      </c>
      <c r="E220" t="s">
        <v>33</v>
      </c>
    </row>
    <row r="221" spans="1:5" x14ac:dyDescent="0.3">
      <c r="A221" s="1" t="s">
        <v>41</v>
      </c>
      <c r="B221">
        <v>2320</v>
      </c>
      <c r="C221">
        <v>2023</v>
      </c>
      <c r="D221">
        <v>9742</v>
      </c>
      <c r="E221" t="s">
        <v>33</v>
      </c>
    </row>
    <row r="222" spans="1:5" x14ac:dyDescent="0.3">
      <c r="A222" s="1" t="s">
        <v>41</v>
      </c>
      <c r="B222">
        <v>2320</v>
      </c>
      <c r="C222">
        <v>2024</v>
      </c>
      <c r="D222">
        <v>7359</v>
      </c>
      <c r="E222" t="s">
        <v>33</v>
      </c>
    </row>
    <row r="223" spans="1:5" x14ac:dyDescent="0.3">
      <c r="A223" s="1" t="s">
        <v>41</v>
      </c>
      <c r="B223">
        <v>2320</v>
      </c>
      <c r="C223">
        <v>2025</v>
      </c>
      <c r="D223">
        <v>18760</v>
      </c>
      <c r="E223" t="s">
        <v>33</v>
      </c>
    </row>
    <row r="224" spans="1:5" x14ac:dyDescent="0.3">
      <c r="A224" s="1" t="s">
        <v>42</v>
      </c>
      <c r="B224">
        <v>2330</v>
      </c>
      <c r="C224">
        <v>2020</v>
      </c>
      <c r="D224">
        <v>0</v>
      </c>
      <c r="E224" t="s">
        <v>33</v>
      </c>
    </row>
    <row r="225" spans="1:5" x14ac:dyDescent="0.3">
      <c r="A225" s="1" t="s">
        <v>42</v>
      </c>
      <c r="B225">
        <v>2330</v>
      </c>
      <c r="C225">
        <v>2021</v>
      </c>
      <c r="D225">
        <v>0</v>
      </c>
      <c r="E225" t="s">
        <v>33</v>
      </c>
    </row>
    <row r="226" spans="1:5" x14ac:dyDescent="0.3">
      <c r="A226" s="1" t="s">
        <v>42</v>
      </c>
      <c r="B226">
        <v>2330</v>
      </c>
      <c r="C226">
        <v>2022</v>
      </c>
      <c r="D226">
        <v>-3901</v>
      </c>
      <c r="E226" t="s">
        <v>33</v>
      </c>
    </row>
    <row r="227" spans="1:5" x14ac:dyDescent="0.3">
      <c r="A227" s="1" t="s">
        <v>42</v>
      </c>
      <c r="B227">
        <v>2330</v>
      </c>
      <c r="C227">
        <v>2023</v>
      </c>
      <c r="D227">
        <v>-1776</v>
      </c>
      <c r="E227" t="s">
        <v>33</v>
      </c>
    </row>
    <row r="228" spans="1:5" x14ac:dyDescent="0.3">
      <c r="A228" s="1" t="s">
        <v>42</v>
      </c>
      <c r="B228">
        <v>2330</v>
      </c>
      <c r="C228">
        <v>2024</v>
      </c>
      <c r="D228">
        <v>-5220</v>
      </c>
      <c r="E228" t="s">
        <v>33</v>
      </c>
    </row>
    <row r="229" spans="1:5" x14ac:dyDescent="0.3">
      <c r="A229" s="1" t="s">
        <v>42</v>
      </c>
      <c r="B229">
        <v>2330</v>
      </c>
      <c r="C229">
        <v>2025</v>
      </c>
      <c r="D229">
        <v>-6229</v>
      </c>
      <c r="E229" t="s">
        <v>33</v>
      </c>
    </row>
    <row r="230" spans="1:5" x14ac:dyDescent="0.3">
      <c r="A230" s="1" t="s">
        <v>43</v>
      </c>
      <c r="B230">
        <v>2340</v>
      </c>
      <c r="C230">
        <v>2020</v>
      </c>
      <c r="D230">
        <v>715130</v>
      </c>
      <c r="E230" t="s">
        <v>33</v>
      </c>
    </row>
    <row r="231" spans="1:5" x14ac:dyDescent="0.3">
      <c r="A231" s="1" t="s">
        <v>43</v>
      </c>
      <c r="B231">
        <v>2340</v>
      </c>
      <c r="C231">
        <v>2021</v>
      </c>
      <c r="D231">
        <v>474928</v>
      </c>
      <c r="E231" t="s">
        <v>33</v>
      </c>
    </row>
    <row r="232" spans="1:5" x14ac:dyDescent="0.3">
      <c r="A232" s="1" t="s">
        <v>43</v>
      </c>
      <c r="B232">
        <v>2340</v>
      </c>
      <c r="C232">
        <v>2022</v>
      </c>
      <c r="D232">
        <v>2414479</v>
      </c>
      <c r="E232" t="s">
        <v>33</v>
      </c>
    </row>
    <row r="233" spans="1:5" x14ac:dyDescent="0.3">
      <c r="A233" s="1" t="s">
        <v>43</v>
      </c>
      <c r="B233">
        <v>2340</v>
      </c>
      <c r="C233">
        <v>2023</v>
      </c>
      <c r="D233">
        <v>1779710</v>
      </c>
      <c r="E233" t="s">
        <v>33</v>
      </c>
    </row>
    <row r="234" spans="1:5" x14ac:dyDescent="0.3">
      <c r="A234" s="1" t="s">
        <v>43</v>
      </c>
      <c r="B234">
        <v>2340</v>
      </c>
      <c r="C234">
        <v>2024</v>
      </c>
      <c r="D234">
        <v>2653168</v>
      </c>
      <c r="E234" t="s">
        <v>33</v>
      </c>
    </row>
    <row r="235" spans="1:5" x14ac:dyDescent="0.3">
      <c r="A235" s="1" t="s">
        <v>43</v>
      </c>
      <c r="B235">
        <v>2340</v>
      </c>
      <c r="C235">
        <v>2025</v>
      </c>
      <c r="D235">
        <v>9156</v>
      </c>
      <c r="E235" t="s">
        <v>33</v>
      </c>
    </row>
    <row r="236" spans="1:5" x14ac:dyDescent="0.3">
      <c r="A236" s="1" t="s">
        <v>44</v>
      </c>
      <c r="B236">
        <v>2350</v>
      </c>
      <c r="C236">
        <v>2020</v>
      </c>
      <c r="D236">
        <v>-515561</v>
      </c>
      <c r="E236" t="s">
        <v>33</v>
      </c>
    </row>
    <row r="237" spans="1:5" x14ac:dyDescent="0.3">
      <c r="A237" s="1" t="s">
        <v>44</v>
      </c>
      <c r="B237">
        <v>2350</v>
      </c>
      <c r="C237">
        <v>2021</v>
      </c>
      <c r="D237">
        <v>-481702</v>
      </c>
      <c r="E237" t="s">
        <v>33</v>
      </c>
    </row>
    <row r="238" spans="1:5" x14ac:dyDescent="0.3">
      <c r="A238" s="1" t="s">
        <v>44</v>
      </c>
      <c r="B238">
        <v>2350</v>
      </c>
      <c r="C238">
        <v>2022</v>
      </c>
      <c r="D238">
        <v>-3059357</v>
      </c>
      <c r="E238" t="s">
        <v>33</v>
      </c>
    </row>
    <row r="239" spans="1:5" x14ac:dyDescent="0.3">
      <c r="A239" s="1" t="s">
        <v>44</v>
      </c>
      <c r="B239">
        <v>2350</v>
      </c>
      <c r="C239">
        <v>2023</v>
      </c>
      <c r="D239">
        <v>-1595352</v>
      </c>
      <c r="E239" t="s">
        <v>33</v>
      </c>
    </row>
    <row r="240" spans="1:5" x14ac:dyDescent="0.3">
      <c r="A240" s="1" t="s">
        <v>44</v>
      </c>
      <c r="B240">
        <v>2350</v>
      </c>
      <c r="C240">
        <v>2024</v>
      </c>
      <c r="D240">
        <v>-3471482</v>
      </c>
      <c r="E240" t="s">
        <v>33</v>
      </c>
    </row>
    <row r="241" spans="1:5" x14ac:dyDescent="0.3">
      <c r="A241" s="1" t="s">
        <v>44</v>
      </c>
      <c r="B241">
        <v>2350</v>
      </c>
      <c r="C241">
        <v>2025</v>
      </c>
      <c r="D241">
        <v>-391804</v>
      </c>
      <c r="E241" t="s">
        <v>33</v>
      </c>
    </row>
    <row r="242" spans="1:5" x14ac:dyDescent="0.3">
      <c r="A242" s="1" t="s">
        <v>45</v>
      </c>
      <c r="B242">
        <v>2400</v>
      </c>
      <c r="C242">
        <v>2020</v>
      </c>
      <c r="D242">
        <v>1031538</v>
      </c>
      <c r="E242" t="s">
        <v>33</v>
      </c>
    </row>
    <row r="243" spans="1:5" x14ac:dyDescent="0.3">
      <c r="A243" s="1" t="s">
        <v>45</v>
      </c>
      <c r="B243">
        <v>2400</v>
      </c>
      <c r="C243">
        <v>2021</v>
      </c>
      <c r="D243">
        <v>1033647</v>
      </c>
      <c r="E243" t="s">
        <v>33</v>
      </c>
    </row>
    <row r="244" spans="1:5" x14ac:dyDescent="0.3">
      <c r="A244" s="1" t="s">
        <v>45</v>
      </c>
      <c r="B244">
        <v>2400</v>
      </c>
      <c r="C244">
        <v>2022</v>
      </c>
      <c r="D244">
        <v>-427987</v>
      </c>
      <c r="E244" t="s">
        <v>33</v>
      </c>
    </row>
    <row r="245" spans="1:5" x14ac:dyDescent="0.3">
      <c r="A245" s="1" t="s">
        <v>45</v>
      </c>
      <c r="B245">
        <v>2400</v>
      </c>
      <c r="C245">
        <v>2023</v>
      </c>
      <c r="D245">
        <v>762196</v>
      </c>
      <c r="E245" t="s">
        <v>33</v>
      </c>
    </row>
    <row r="246" spans="1:5" x14ac:dyDescent="0.3">
      <c r="A246" s="1" t="s">
        <v>45</v>
      </c>
      <c r="B246">
        <v>2400</v>
      </c>
      <c r="C246">
        <v>2024</v>
      </c>
      <c r="D246">
        <v>-155403</v>
      </c>
      <c r="E246" t="s">
        <v>33</v>
      </c>
    </row>
    <row r="247" spans="1:5" x14ac:dyDescent="0.3">
      <c r="A247" s="1" t="s">
        <v>45</v>
      </c>
      <c r="B247">
        <v>2400</v>
      </c>
      <c r="C247">
        <v>2025</v>
      </c>
      <c r="D247">
        <v>-375492</v>
      </c>
      <c r="E247" t="s">
        <v>33</v>
      </c>
    </row>
    <row r="248" spans="1:5" x14ac:dyDescent="0.3">
      <c r="A248" s="1" t="s">
        <v>46</v>
      </c>
      <c r="B248">
        <v>2410</v>
      </c>
      <c r="C248">
        <v>2020</v>
      </c>
      <c r="D248">
        <v>-239547</v>
      </c>
      <c r="E248" t="s">
        <v>33</v>
      </c>
    </row>
    <row r="249" spans="1:5" x14ac:dyDescent="0.3">
      <c r="A249" s="1" t="s">
        <v>46</v>
      </c>
      <c r="B249">
        <v>2410</v>
      </c>
      <c r="C249">
        <v>2021</v>
      </c>
      <c r="D249">
        <v>-38959</v>
      </c>
      <c r="E249" t="s">
        <v>33</v>
      </c>
    </row>
    <row r="250" spans="1:5" x14ac:dyDescent="0.3">
      <c r="A250" s="1" t="s">
        <v>46</v>
      </c>
      <c r="B250">
        <v>2410</v>
      </c>
      <c r="C250">
        <v>2022</v>
      </c>
      <c r="D250">
        <v>-2163</v>
      </c>
      <c r="E250" t="s">
        <v>33</v>
      </c>
    </row>
    <row r="251" spans="1:5" x14ac:dyDescent="0.3">
      <c r="A251" s="1" t="s">
        <v>46</v>
      </c>
      <c r="B251">
        <v>2410</v>
      </c>
      <c r="C251">
        <v>2023</v>
      </c>
      <c r="D251">
        <v>-175824</v>
      </c>
      <c r="E251" t="s">
        <v>33</v>
      </c>
    </row>
    <row r="252" spans="1:5" x14ac:dyDescent="0.3">
      <c r="A252" s="1" t="s">
        <v>46</v>
      </c>
      <c r="B252">
        <v>2410</v>
      </c>
      <c r="C252">
        <v>2024</v>
      </c>
      <c r="D252">
        <v>-169191</v>
      </c>
      <c r="E252" t="s">
        <v>33</v>
      </c>
    </row>
    <row r="253" spans="1:5" x14ac:dyDescent="0.3">
      <c r="A253" s="1" t="s">
        <v>46</v>
      </c>
      <c r="B253">
        <v>2410</v>
      </c>
      <c r="C253">
        <v>2025</v>
      </c>
      <c r="D253">
        <v>-158121</v>
      </c>
      <c r="E253" t="s">
        <v>33</v>
      </c>
    </row>
    <row r="254" spans="1:5" x14ac:dyDescent="0.3">
      <c r="A254" s="1" t="s">
        <v>47</v>
      </c>
      <c r="B254">
        <v>2411</v>
      </c>
      <c r="C254">
        <v>2020</v>
      </c>
      <c r="D254">
        <v>-245110</v>
      </c>
      <c r="E254" t="s">
        <v>33</v>
      </c>
    </row>
    <row r="255" spans="1:5" x14ac:dyDescent="0.3">
      <c r="A255" s="1" t="s">
        <v>47</v>
      </c>
      <c r="B255">
        <v>2411</v>
      </c>
      <c r="C255">
        <v>2021</v>
      </c>
      <c r="D255">
        <v>-29945</v>
      </c>
      <c r="E255" t="s">
        <v>33</v>
      </c>
    </row>
    <row r="256" spans="1:5" x14ac:dyDescent="0.3">
      <c r="A256" s="1" t="s">
        <v>47</v>
      </c>
      <c r="B256">
        <v>2411</v>
      </c>
      <c r="C256">
        <v>2022</v>
      </c>
      <c r="D256">
        <v>0</v>
      </c>
      <c r="E256" t="s">
        <v>33</v>
      </c>
    </row>
    <row r="257" spans="1:5" x14ac:dyDescent="0.3">
      <c r="A257" s="1" t="s">
        <v>47</v>
      </c>
      <c r="B257">
        <v>2411</v>
      </c>
      <c r="C257">
        <v>2023</v>
      </c>
      <c r="D257">
        <v>-179606</v>
      </c>
      <c r="E257" t="s">
        <v>33</v>
      </c>
    </row>
    <row r="258" spans="1:5" x14ac:dyDescent="0.3">
      <c r="A258" s="1" t="s">
        <v>47</v>
      </c>
      <c r="B258">
        <v>2411</v>
      </c>
      <c r="C258">
        <v>2024</v>
      </c>
      <c r="D258">
        <v>-182255</v>
      </c>
      <c r="E258" t="s">
        <v>33</v>
      </c>
    </row>
    <row r="259" spans="1:5" x14ac:dyDescent="0.3">
      <c r="A259" s="1" t="s">
        <v>47</v>
      </c>
      <c r="B259">
        <v>2411</v>
      </c>
      <c r="C259">
        <v>2025</v>
      </c>
      <c r="D259">
        <v>-160411</v>
      </c>
      <c r="E259" t="s">
        <v>33</v>
      </c>
    </row>
    <row r="260" spans="1:5" x14ac:dyDescent="0.3">
      <c r="A260" s="1" t="s">
        <v>48</v>
      </c>
      <c r="B260">
        <v>2412</v>
      </c>
      <c r="C260">
        <v>2020</v>
      </c>
      <c r="D260">
        <v>5563</v>
      </c>
      <c r="E260" t="s">
        <v>33</v>
      </c>
    </row>
    <row r="261" spans="1:5" x14ac:dyDescent="0.3">
      <c r="A261" s="1" t="s">
        <v>48</v>
      </c>
      <c r="B261">
        <v>2412</v>
      </c>
      <c r="C261">
        <v>2021</v>
      </c>
      <c r="D261">
        <v>-5294</v>
      </c>
      <c r="E261" t="s">
        <v>33</v>
      </c>
    </row>
    <row r="262" spans="1:5" x14ac:dyDescent="0.3">
      <c r="A262" s="1" t="s">
        <v>48</v>
      </c>
      <c r="B262">
        <v>2412</v>
      </c>
      <c r="C262">
        <v>2022</v>
      </c>
      <c r="D262">
        <v>-2163</v>
      </c>
      <c r="E262" t="s">
        <v>33</v>
      </c>
    </row>
    <row r="263" spans="1:5" x14ac:dyDescent="0.3">
      <c r="A263" s="1" t="s">
        <v>48</v>
      </c>
      <c r="B263">
        <v>2412</v>
      </c>
      <c r="C263">
        <v>2023</v>
      </c>
      <c r="D263">
        <v>3782</v>
      </c>
      <c r="E263" t="s">
        <v>33</v>
      </c>
    </row>
    <row r="264" spans="1:5" x14ac:dyDescent="0.3">
      <c r="A264" s="1" t="s">
        <v>48</v>
      </c>
      <c r="B264">
        <v>2412</v>
      </c>
      <c r="C264">
        <v>2024</v>
      </c>
      <c r="D264">
        <v>13064</v>
      </c>
      <c r="E264" t="s">
        <v>33</v>
      </c>
    </row>
    <row r="265" spans="1:5" x14ac:dyDescent="0.3">
      <c r="A265" s="1" t="s">
        <v>48</v>
      </c>
      <c r="B265">
        <v>2412</v>
      </c>
      <c r="C265">
        <v>2025</v>
      </c>
      <c r="D265">
        <v>2290</v>
      </c>
      <c r="E265" t="s">
        <v>33</v>
      </c>
    </row>
    <row r="266" spans="1:5" x14ac:dyDescent="0.3">
      <c r="A266" s="1" t="s">
        <v>49</v>
      </c>
      <c r="B266">
        <v>2460</v>
      </c>
      <c r="C266">
        <v>2020</v>
      </c>
      <c r="D266">
        <v>0</v>
      </c>
      <c r="E266" t="s">
        <v>33</v>
      </c>
    </row>
    <row r="267" spans="1:5" x14ac:dyDescent="0.3">
      <c r="A267" s="1" t="s">
        <v>49</v>
      </c>
      <c r="B267">
        <v>2460</v>
      </c>
      <c r="C267">
        <v>2021</v>
      </c>
      <c r="D267">
        <v>-10461</v>
      </c>
      <c r="E267" t="s">
        <v>33</v>
      </c>
    </row>
    <row r="268" spans="1:5" x14ac:dyDescent="0.3">
      <c r="A268" s="1" t="s">
        <v>49</v>
      </c>
      <c r="B268">
        <v>2460</v>
      </c>
      <c r="C268">
        <v>2022</v>
      </c>
      <c r="D268">
        <v>-552726</v>
      </c>
      <c r="E268" t="s">
        <v>33</v>
      </c>
    </row>
    <row r="269" spans="1:5" x14ac:dyDescent="0.3">
      <c r="A269" s="1" t="s">
        <v>49</v>
      </c>
      <c r="B269">
        <v>2460</v>
      </c>
      <c r="C269">
        <v>2023</v>
      </c>
      <c r="D269">
        <v>0</v>
      </c>
      <c r="E269" t="s">
        <v>33</v>
      </c>
    </row>
    <row r="270" spans="1:5" x14ac:dyDescent="0.3">
      <c r="A270" s="1" t="s">
        <v>49</v>
      </c>
      <c r="B270">
        <v>2460</v>
      </c>
      <c r="C270">
        <v>2024</v>
      </c>
      <c r="D270">
        <v>4170</v>
      </c>
      <c r="E270" t="s">
        <v>33</v>
      </c>
    </row>
    <row r="271" spans="1:5" x14ac:dyDescent="0.3">
      <c r="A271" s="1" t="s">
        <v>49</v>
      </c>
      <c r="B271">
        <v>2460</v>
      </c>
      <c r="C271">
        <v>2025</v>
      </c>
      <c r="D271">
        <v>-464411</v>
      </c>
      <c r="E271" t="s">
        <v>33</v>
      </c>
    </row>
    <row r="272" spans="1:5" x14ac:dyDescent="0.3">
      <c r="A272" s="1" t="s">
        <v>50</v>
      </c>
      <c r="B272">
        <v>2500</v>
      </c>
      <c r="C272">
        <v>2020</v>
      </c>
      <c r="D272">
        <v>1031538</v>
      </c>
      <c r="E272" t="s">
        <v>33</v>
      </c>
    </row>
    <row r="273" spans="1:5" x14ac:dyDescent="0.3">
      <c r="A273" s="1" t="s">
        <v>50</v>
      </c>
      <c r="B273">
        <v>2500</v>
      </c>
      <c r="C273">
        <v>2021</v>
      </c>
      <c r="D273">
        <v>1033647</v>
      </c>
      <c r="E273" t="s">
        <v>33</v>
      </c>
    </row>
    <row r="274" spans="1:5" x14ac:dyDescent="0.3">
      <c r="A274" s="1" t="s">
        <v>50</v>
      </c>
      <c r="B274">
        <v>2500</v>
      </c>
      <c r="C274">
        <v>2022</v>
      </c>
      <c r="D274">
        <v>-427987</v>
      </c>
      <c r="E274" t="s">
        <v>33</v>
      </c>
    </row>
    <row r="275" spans="1:5" x14ac:dyDescent="0.3">
      <c r="A275" s="1" t="s">
        <v>50</v>
      </c>
      <c r="B275">
        <v>2500</v>
      </c>
      <c r="C275">
        <v>2023</v>
      </c>
      <c r="D275">
        <v>762196</v>
      </c>
      <c r="E275" t="s">
        <v>33</v>
      </c>
    </row>
    <row r="276" spans="1:5" x14ac:dyDescent="0.3">
      <c r="A276" s="1" t="s">
        <v>50</v>
      </c>
      <c r="B276">
        <v>2500</v>
      </c>
      <c r="C276">
        <v>2024</v>
      </c>
      <c r="D276">
        <v>-155403</v>
      </c>
      <c r="E276" t="s">
        <v>33</v>
      </c>
    </row>
    <row r="277" spans="1:5" x14ac:dyDescent="0.3">
      <c r="A277" s="1" t="s">
        <v>50</v>
      </c>
      <c r="B277">
        <v>2500</v>
      </c>
      <c r="C277">
        <v>2025</v>
      </c>
      <c r="D277">
        <v>-375492</v>
      </c>
      <c r="E277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9"/>
  <sheetViews>
    <sheetView workbookViewId="0"/>
  </sheetViews>
  <sheetFormatPr defaultRowHeight="14.4" x14ac:dyDescent="0.3"/>
  <cols>
    <col min="1" max="1" width="68.5546875" customWidth="1"/>
    <col min="2" max="2" width="11.33203125" customWidth="1"/>
    <col min="3" max="3" width="6.88671875" customWidth="1"/>
    <col min="4" max="4" width="8" customWidth="1"/>
    <col min="5" max="5" width="1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1100</v>
      </c>
      <c r="C2">
        <v>2020</v>
      </c>
      <c r="D2">
        <v>268300</v>
      </c>
      <c r="E2" s="1" t="s">
        <v>6</v>
      </c>
    </row>
    <row r="3" spans="1:5" x14ac:dyDescent="0.3">
      <c r="A3" s="1" t="s">
        <v>5</v>
      </c>
      <c r="B3">
        <v>1100</v>
      </c>
      <c r="C3">
        <v>2021</v>
      </c>
      <c r="D3">
        <v>343275</v>
      </c>
      <c r="E3" s="1" t="s">
        <v>6</v>
      </c>
    </row>
    <row r="4" spans="1:5" x14ac:dyDescent="0.3">
      <c r="A4" s="1" t="s">
        <v>5</v>
      </c>
      <c r="B4">
        <v>1100</v>
      </c>
      <c r="C4">
        <v>2022</v>
      </c>
      <c r="D4">
        <v>288795</v>
      </c>
      <c r="E4" s="1" t="s">
        <v>6</v>
      </c>
    </row>
    <row r="5" spans="1:5" x14ac:dyDescent="0.3">
      <c r="A5" s="1" t="s">
        <v>5</v>
      </c>
      <c r="B5">
        <v>1100</v>
      </c>
      <c r="C5">
        <v>2023</v>
      </c>
      <c r="D5">
        <v>743254</v>
      </c>
      <c r="E5" s="1" t="s">
        <v>6</v>
      </c>
    </row>
    <row r="6" spans="1:5" x14ac:dyDescent="0.3">
      <c r="A6" s="1" t="s">
        <v>5</v>
      </c>
      <c r="B6">
        <v>1100</v>
      </c>
      <c r="C6">
        <v>2024</v>
      </c>
      <c r="D6">
        <v>266946</v>
      </c>
      <c r="E6" s="1" t="s">
        <v>6</v>
      </c>
    </row>
    <row r="7" spans="1:5" x14ac:dyDescent="0.3">
      <c r="A7" s="1" t="s">
        <v>5</v>
      </c>
      <c r="B7">
        <v>1100</v>
      </c>
      <c r="C7">
        <v>2025</v>
      </c>
      <c r="D7">
        <v>1209200</v>
      </c>
      <c r="E7" s="1" t="s">
        <v>6</v>
      </c>
    </row>
    <row r="8" spans="1:5" x14ac:dyDescent="0.3">
      <c r="A8" s="1" t="s">
        <v>7</v>
      </c>
      <c r="B8">
        <v>1110</v>
      </c>
      <c r="C8">
        <v>2020</v>
      </c>
      <c r="D8">
        <v>56507</v>
      </c>
      <c r="E8" s="1" t="s">
        <v>6</v>
      </c>
    </row>
    <row r="9" spans="1:5" x14ac:dyDescent="0.3">
      <c r="A9" s="1" t="s">
        <v>7</v>
      </c>
      <c r="B9">
        <v>1110</v>
      </c>
      <c r="C9">
        <v>2021</v>
      </c>
      <c r="D9">
        <v>49737</v>
      </c>
      <c r="E9" s="1" t="s">
        <v>6</v>
      </c>
    </row>
    <row r="10" spans="1:5" x14ac:dyDescent="0.3">
      <c r="A10" s="1" t="s">
        <v>7</v>
      </c>
      <c r="B10">
        <v>1110</v>
      </c>
      <c r="C10">
        <v>2022</v>
      </c>
      <c r="D10">
        <v>26219</v>
      </c>
      <c r="E10" s="1" t="s">
        <v>6</v>
      </c>
    </row>
    <row r="11" spans="1:5" x14ac:dyDescent="0.3">
      <c r="A11" s="1" t="s">
        <v>7</v>
      </c>
      <c r="B11">
        <v>1110</v>
      </c>
      <c r="C11">
        <v>2023</v>
      </c>
      <c r="D11">
        <v>26715</v>
      </c>
      <c r="E11" s="1" t="s">
        <v>6</v>
      </c>
    </row>
    <row r="12" spans="1:5" x14ac:dyDescent="0.3">
      <c r="A12" s="1" t="s">
        <v>7</v>
      </c>
      <c r="B12">
        <v>1110</v>
      </c>
      <c r="C12">
        <v>2024</v>
      </c>
      <c r="D12">
        <v>23544</v>
      </c>
      <c r="E12" s="1" t="s">
        <v>6</v>
      </c>
    </row>
    <row r="13" spans="1:5" x14ac:dyDescent="0.3">
      <c r="A13" s="1" t="s">
        <v>7</v>
      </c>
      <c r="B13">
        <v>1110</v>
      </c>
      <c r="C13">
        <v>2025</v>
      </c>
      <c r="D13">
        <v>25012</v>
      </c>
      <c r="E13" s="1" t="s">
        <v>6</v>
      </c>
    </row>
    <row r="14" spans="1:5" x14ac:dyDescent="0.3">
      <c r="A14" s="1" t="s">
        <v>8</v>
      </c>
      <c r="B14">
        <v>1150</v>
      </c>
      <c r="C14">
        <v>2020</v>
      </c>
      <c r="D14">
        <v>90852</v>
      </c>
      <c r="E14" s="1" t="s">
        <v>6</v>
      </c>
    </row>
    <row r="15" spans="1:5" x14ac:dyDescent="0.3">
      <c r="A15" s="1" t="s">
        <v>8</v>
      </c>
      <c r="B15">
        <v>1150</v>
      </c>
      <c r="C15">
        <v>2021</v>
      </c>
      <c r="D15">
        <v>162270</v>
      </c>
      <c r="E15" s="1" t="s">
        <v>6</v>
      </c>
    </row>
    <row r="16" spans="1:5" x14ac:dyDescent="0.3">
      <c r="A16" s="1" t="s">
        <v>8</v>
      </c>
      <c r="B16">
        <v>1150</v>
      </c>
      <c r="C16">
        <v>2022</v>
      </c>
      <c r="D16">
        <v>148762</v>
      </c>
      <c r="E16" s="1" t="s">
        <v>6</v>
      </c>
    </row>
    <row r="17" spans="1:5" x14ac:dyDescent="0.3">
      <c r="A17" s="1" t="s">
        <v>8</v>
      </c>
      <c r="B17">
        <v>1150</v>
      </c>
      <c r="C17">
        <v>2023</v>
      </c>
      <c r="D17">
        <v>96149</v>
      </c>
      <c r="E17" s="1" t="s">
        <v>6</v>
      </c>
    </row>
    <row r="18" spans="1:5" x14ac:dyDescent="0.3">
      <c r="A18" s="1" t="s">
        <v>8</v>
      </c>
      <c r="B18">
        <v>1150</v>
      </c>
      <c r="C18">
        <v>2024</v>
      </c>
      <c r="D18">
        <v>201725</v>
      </c>
      <c r="E18" s="1" t="s">
        <v>6</v>
      </c>
    </row>
    <row r="19" spans="1:5" x14ac:dyDescent="0.3">
      <c r="A19" s="1" t="s">
        <v>8</v>
      </c>
      <c r="B19">
        <v>1150</v>
      </c>
      <c r="C19">
        <v>2025</v>
      </c>
      <c r="D19">
        <v>429022</v>
      </c>
      <c r="E19" s="1" t="s">
        <v>6</v>
      </c>
    </row>
    <row r="20" spans="1:5" x14ac:dyDescent="0.3">
      <c r="A20" s="1" t="s">
        <v>9</v>
      </c>
      <c r="B20">
        <v>1160</v>
      </c>
      <c r="C20">
        <v>2020</v>
      </c>
      <c r="D20">
        <v>0</v>
      </c>
      <c r="E20" s="1" t="s">
        <v>6</v>
      </c>
    </row>
    <row r="21" spans="1:5" x14ac:dyDescent="0.3">
      <c r="A21" s="1" t="s">
        <v>9</v>
      </c>
      <c r="B21">
        <v>1160</v>
      </c>
      <c r="C21">
        <v>2021</v>
      </c>
      <c r="D21">
        <v>1213</v>
      </c>
      <c r="E21" s="1" t="s">
        <v>6</v>
      </c>
    </row>
    <row r="22" spans="1:5" x14ac:dyDescent="0.3">
      <c r="A22" s="1" t="s">
        <v>9</v>
      </c>
      <c r="B22">
        <v>1160</v>
      </c>
      <c r="C22">
        <v>2022</v>
      </c>
      <c r="D22">
        <v>1213</v>
      </c>
      <c r="E22" s="1" t="s">
        <v>6</v>
      </c>
    </row>
    <row r="23" spans="1:5" x14ac:dyDescent="0.3">
      <c r="A23" s="1" t="s">
        <v>51</v>
      </c>
      <c r="B23">
        <v>1160</v>
      </c>
      <c r="C23">
        <v>2023</v>
      </c>
      <c r="D23">
        <v>0</v>
      </c>
      <c r="E23" s="1" t="s">
        <v>6</v>
      </c>
    </row>
    <row r="24" spans="1:5" x14ac:dyDescent="0.3">
      <c r="A24" s="1" t="s">
        <v>51</v>
      </c>
      <c r="B24">
        <v>1160</v>
      </c>
      <c r="C24">
        <v>2024</v>
      </c>
      <c r="D24">
        <v>0</v>
      </c>
      <c r="E24" s="1" t="s">
        <v>6</v>
      </c>
    </row>
    <row r="25" spans="1:5" x14ac:dyDescent="0.3">
      <c r="A25" s="1" t="s">
        <v>51</v>
      </c>
      <c r="B25">
        <v>1160</v>
      </c>
      <c r="C25">
        <v>2025</v>
      </c>
      <c r="D25">
        <v>0</v>
      </c>
      <c r="E25" s="1" t="s">
        <v>6</v>
      </c>
    </row>
    <row r="26" spans="1:5" x14ac:dyDescent="0.3">
      <c r="A26" s="1" t="s">
        <v>10</v>
      </c>
      <c r="B26">
        <v>1170</v>
      </c>
      <c r="C26">
        <v>2020</v>
      </c>
      <c r="D26">
        <v>113733</v>
      </c>
      <c r="E26" s="1" t="s">
        <v>6</v>
      </c>
    </row>
    <row r="27" spans="1:5" x14ac:dyDescent="0.3">
      <c r="A27" s="1" t="s">
        <v>10</v>
      </c>
      <c r="B27">
        <v>1170</v>
      </c>
      <c r="C27">
        <v>2021</v>
      </c>
      <c r="D27">
        <v>126685</v>
      </c>
      <c r="E27" s="1" t="s">
        <v>6</v>
      </c>
    </row>
    <row r="28" spans="1:5" x14ac:dyDescent="0.3">
      <c r="A28" s="1" t="s">
        <v>10</v>
      </c>
      <c r="B28">
        <v>1170</v>
      </c>
      <c r="C28">
        <v>2022</v>
      </c>
      <c r="D28">
        <v>112601</v>
      </c>
      <c r="E28" s="1" t="s">
        <v>6</v>
      </c>
    </row>
    <row r="29" spans="1:5" x14ac:dyDescent="0.3">
      <c r="A29" s="1" t="s">
        <v>10</v>
      </c>
      <c r="B29">
        <v>1170</v>
      </c>
      <c r="C29">
        <v>2023</v>
      </c>
      <c r="D29">
        <v>613266</v>
      </c>
      <c r="E29" s="1" t="s">
        <v>6</v>
      </c>
    </row>
    <row r="30" spans="1:5" x14ac:dyDescent="0.3">
      <c r="A30" s="1" t="s">
        <v>10</v>
      </c>
      <c r="B30">
        <v>1170</v>
      </c>
      <c r="C30">
        <v>2024</v>
      </c>
      <c r="D30">
        <v>13313</v>
      </c>
      <c r="E30" s="1" t="s">
        <v>6</v>
      </c>
    </row>
    <row r="31" spans="1:5" x14ac:dyDescent="0.3">
      <c r="A31" s="1" t="s">
        <v>10</v>
      </c>
      <c r="B31">
        <v>1170</v>
      </c>
      <c r="C31">
        <v>2025</v>
      </c>
      <c r="D31">
        <v>703120</v>
      </c>
      <c r="E31" s="1" t="s">
        <v>6</v>
      </c>
    </row>
    <row r="32" spans="1:5" x14ac:dyDescent="0.3">
      <c r="A32" s="1" t="s">
        <v>11</v>
      </c>
      <c r="B32">
        <v>1180</v>
      </c>
      <c r="C32">
        <v>2020</v>
      </c>
      <c r="D32">
        <v>7208</v>
      </c>
      <c r="E32" s="1" t="s">
        <v>6</v>
      </c>
    </row>
    <row r="33" spans="1:5" x14ac:dyDescent="0.3">
      <c r="A33" s="1" t="s">
        <v>11</v>
      </c>
      <c r="B33">
        <v>1180</v>
      </c>
      <c r="C33">
        <v>2021</v>
      </c>
      <c r="D33">
        <v>3370</v>
      </c>
      <c r="E33" s="1" t="s">
        <v>6</v>
      </c>
    </row>
    <row r="34" spans="1:5" x14ac:dyDescent="0.3">
      <c r="A34" s="1" t="s">
        <v>11</v>
      </c>
      <c r="B34">
        <v>1180</v>
      </c>
      <c r="C34">
        <v>2022</v>
      </c>
      <c r="D34">
        <v>0</v>
      </c>
      <c r="E34" s="1" t="s">
        <v>6</v>
      </c>
    </row>
    <row r="35" spans="1:5" x14ac:dyDescent="0.3">
      <c r="A35" s="1" t="s">
        <v>11</v>
      </c>
      <c r="B35">
        <v>1180</v>
      </c>
      <c r="C35">
        <v>2023</v>
      </c>
      <c r="D35">
        <v>7124</v>
      </c>
      <c r="E35" s="1" t="s">
        <v>6</v>
      </c>
    </row>
    <row r="36" spans="1:5" x14ac:dyDescent="0.3">
      <c r="A36" s="1" t="s">
        <v>11</v>
      </c>
      <c r="B36">
        <v>1180</v>
      </c>
      <c r="C36">
        <v>2024</v>
      </c>
      <c r="D36">
        <v>28364</v>
      </c>
      <c r="E36" s="1" t="s">
        <v>6</v>
      </c>
    </row>
    <row r="37" spans="1:5" x14ac:dyDescent="0.3">
      <c r="A37" s="1" t="s">
        <v>11</v>
      </c>
      <c r="B37">
        <v>1180</v>
      </c>
      <c r="C37">
        <v>2025</v>
      </c>
      <c r="D37">
        <v>52046</v>
      </c>
      <c r="E37" s="1" t="s">
        <v>6</v>
      </c>
    </row>
    <row r="38" spans="1:5" x14ac:dyDescent="0.3">
      <c r="A38" s="1" t="s">
        <v>12</v>
      </c>
      <c r="B38">
        <v>1200</v>
      </c>
      <c r="C38">
        <v>2020</v>
      </c>
      <c r="D38">
        <v>2750685</v>
      </c>
      <c r="E38" s="1" t="s">
        <v>6</v>
      </c>
    </row>
    <row r="39" spans="1:5" x14ac:dyDescent="0.3">
      <c r="A39" s="1" t="s">
        <v>12</v>
      </c>
      <c r="B39">
        <v>1200</v>
      </c>
      <c r="C39">
        <v>2021</v>
      </c>
      <c r="D39">
        <v>4102458</v>
      </c>
      <c r="E39" s="1" t="s">
        <v>6</v>
      </c>
    </row>
    <row r="40" spans="1:5" x14ac:dyDescent="0.3">
      <c r="A40" s="1" t="s">
        <v>12</v>
      </c>
      <c r="B40">
        <v>1200</v>
      </c>
      <c r="C40">
        <v>2022</v>
      </c>
      <c r="D40">
        <v>3681063</v>
      </c>
      <c r="E40" s="1" t="s">
        <v>6</v>
      </c>
    </row>
    <row r="41" spans="1:5" x14ac:dyDescent="0.3">
      <c r="A41" s="1" t="s">
        <v>12</v>
      </c>
      <c r="B41">
        <v>1200</v>
      </c>
      <c r="C41">
        <v>2023</v>
      </c>
      <c r="D41">
        <v>3240244</v>
      </c>
      <c r="E41" s="1" t="s">
        <v>6</v>
      </c>
    </row>
    <row r="42" spans="1:5" x14ac:dyDescent="0.3">
      <c r="A42" s="1" t="s">
        <v>12</v>
      </c>
      <c r="B42">
        <v>1200</v>
      </c>
      <c r="C42">
        <v>2024</v>
      </c>
      <c r="D42">
        <v>4020533</v>
      </c>
      <c r="E42" s="1" t="s">
        <v>6</v>
      </c>
    </row>
    <row r="43" spans="1:5" x14ac:dyDescent="0.3">
      <c r="A43" s="1" t="s">
        <v>12</v>
      </c>
      <c r="B43">
        <v>1200</v>
      </c>
      <c r="C43">
        <v>2025</v>
      </c>
      <c r="D43">
        <v>4739556</v>
      </c>
      <c r="E43" s="1" t="s">
        <v>6</v>
      </c>
    </row>
    <row r="44" spans="1:5" x14ac:dyDescent="0.3">
      <c r="A44" s="1" t="s">
        <v>13</v>
      </c>
      <c r="B44">
        <v>1210</v>
      </c>
      <c r="C44">
        <v>2020</v>
      </c>
      <c r="D44">
        <v>425</v>
      </c>
      <c r="E44" s="1" t="s">
        <v>6</v>
      </c>
    </row>
    <row r="45" spans="1:5" x14ac:dyDescent="0.3">
      <c r="A45" s="1" t="s">
        <v>13</v>
      </c>
      <c r="B45">
        <v>1210</v>
      </c>
      <c r="C45">
        <v>2021</v>
      </c>
      <c r="D45">
        <v>31</v>
      </c>
      <c r="E45" s="1" t="s">
        <v>6</v>
      </c>
    </row>
    <row r="46" spans="1:5" x14ac:dyDescent="0.3">
      <c r="A46" s="1" t="s">
        <v>13</v>
      </c>
      <c r="B46">
        <v>1210</v>
      </c>
      <c r="C46">
        <v>2022</v>
      </c>
      <c r="D46">
        <v>2936</v>
      </c>
      <c r="E46" s="1" t="s">
        <v>6</v>
      </c>
    </row>
    <row r="47" spans="1:5" x14ac:dyDescent="0.3">
      <c r="A47" s="1" t="s">
        <v>13</v>
      </c>
      <c r="B47">
        <v>1210</v>
      </c>
      <c r="C47">
        <v>2023</v>
      </c>
      <c r="D47">
        <v>2238</v>
      </c>
      <c r="E47" s="1" t="s">
        <v>6</v>
      </c>
    </row>
    <row r="48" spans="1:5" x14ac:dyDescent="0.3">
      <c r="A48" s="1" t="s">
        <v>13</v>
      </c>
      <c r="B48">
        <v>1210</v>
      </c>
      <c r="C48">
        <v>2024</v>
      </c>
      <c r="D48">
        <v>2179</v>
      </c>
      <c r="E48" s="1" t="s">
        <v>6</v>
      </c>
    </row>
    <row r="49" spans="1:5" x14ac:dyDescent="0.3">
      <c r="A49" s="1" t="s">
        <v>13</v>
      </c>
      <c r="B49">
        <v>1210</v>
      </c>
      <c r="C49">
        <v>2025</v>
      </c>
      <c r="D49">
        <v>2615</v>
      </c>
      <c r="E49" s="1" t="s">
        <v>6</v>
      </c>
    </row>
    <row r="50" spans="1:5" x14ac:dyDescent="0.3">
      <c r="A50" s="1" t="s">
        <v>14</v>
      </c>
      <c r="B50">
        <v>1220</v>
      </c>
      <c r="C50">
        <v>2020</v>
      </c>
      <c r="D50">
        <v>0</v>
      </c>
      <c r="E50" s="1" t="s">
        <v>6</v>
      </c>
    </row>
    <row r="51" spans="1:5" x14ac:dyDescent="0.3">
      <c r="A51" s="1" t="s">
        <v>14</v>
      </c>
      <c r="B51">
        <v>1220</v>
      </c>
      <c r="C51">
        <v>2021</v>
      </c>
      <c r="D51">
        <v>0</v>
      </c>
      <c r="E51" s="1" t="s">
        <v>6</v>
      </c>
    </row>
    <row r="52" spans="1:5" x14ac:dyDescent="0.3">
      <c r="A52" s="1" t="s">
        <v>14</v>
      </c>
      <c r="B52">
        <v>1220</v>
      </c>
      <c r="C52">
        <v>2022</v>
      </c>
      <c r="D52">
        <v>0</v>
      </c>
      <c r="E52" s="1" t="s">
        <v>6</v>
      </c>
    </row>
    <row r="53" spans="1:5" x14ac:dyDescent="0.3">
      <c r="A53" s="1" t="s">
        <v>14</v>
      </c>
      <c r="B53">
        <v>1220</v>
      </c>
      <c r="C53">
        <v>2023</v>
      </c>
      <c r="D53">
        <v>0</v>
      </c>
      <c r="E53" s="1" t="s">
        <v>6</v>
      </c>
    </row>
    <row r="54" spans="1:5" x14ac:dyDescent="0.3">
      <c r="A54" s="1" t="s">
        <v>14</v>
      </c>
      <c r="B54">
        <v>1220</v>
      </c>
      <c r="C54">
        <v>2024</v>
      </c>
      <c r="D54">
        <v>239</v>
      </c>
      <c r="E54" s="1" t="s">
        <v>6</v>
      </c>
    </row>
    <row r="55" spans="1:5" x14ac:dyDescent="0.3">
      <c r="A55" s="1" t="s">
        <v>14</v>
      </c>
      <c r="B55">
        <v>1220</v>
      </c>
      <c r="C55">
        <v>2025</v>
      </c>
      <c r="D55">
        <v>435</v>
      </c>
      <c r="E55" s="1" t="s">
        <v>6</v>
      </c>
    </row>
    <row r="56" spans="1:5" x14ac:dyDescent="0.3">
      <c r="A56" s="1" t="s">
        <v>15</v>
      </c>
      <c r="B56">
        <v>1230</v>
      </c>
      <c r="C56">
        <v>2020</v>
      </c>
      <c r="D56">
        <v>259411</v>
      </c>
      <c r="E56" s="1" t="s">
        <v>6</v>
      </c>
    </row>
    <row r="57" spans="1:5" x14ac:dyDescent="0.3">
      <c r="A57" s="1" t="s">
        <v>15</v>
      </c>
      <c r="B57">
        <v>1230</v>
      </c>
      <c r="C57">
        <v>2021</v>
      </c>
      <c r="D57">
        <v>626083</v>
      </c>
      <c r="E57" s="1" t="s">
        <v>6</v>
      </c>
    </row>
    <row r="58" spans="1:5" x14ac:dyDescent="0.3">
      <c r="A58" s="1" t="s">
        <v>15</v>
      </c>
      <c r="B58">
        <v>1230</v>
      </c>
      <c r="C58">
        <v>2022</v>
      </c>
      <c r="D58">
        <v>1553374</v>
      </c>
      <c r="E58" s="1" t="s">
        <v>6</v>
      </c>
    </row>
    <row r="59" spans="1:5" x14ac:dyDescent="0.3">
      <c r="A59" s="1" t="s">
        <v>15</v>
      </c>
      <c r="B59">
        <v>1230</v>
      </c>
      <c r="C59">
        <v>2023</v>
      </c>
      <c r="D59">
        <v>2333028</v>
      </c>
      <c r="E59" s="1" t="s">
        <v>6</v>
      </c>
    </row>
    <row r="60" spans="1:5" x14ac:dyDescent="0.3">
      <c r="A60" s="1" t="s">
        <v>15</v>
      </c>
      <c r="B60">
        <v>1230</v>
      </c>
      <c r="C60">
        <v>2024</v>
      </c>
      <c r="D60">
        <v>3273651</v>
      </c>
      <c r="E60" s="1" t="s">
        <v>6</v>
      </c>
    </row>
    <row r="61" spans="1:5" x14ac:dyDescent="0.3">
      <c r="A61" s="1" t="s">
        <v>15</v>
      </c>
      <c r="B61">
        <v>1230</v>
      </c>
      <c r="C61">
        <v>2025</v>
      </c>
      <c r="D61">
        <v>4661132</v>
      </c>
      <c r="E61" s="1" t="s">
        <v>6</v>
      </c>
    </row>
    <row r="62" spans="1:5" x14ac:dyDescent="0.3">
      <c r="A62" s="1" t="s">
        <v>16</v>
      </c>
      <c r="B62">
        <v>1240</v>
      </c>
      <c r="C62">
        <v>2020</v>
      </c>
      <c r="D62">
        <v>1173610</v>
      </c>
      <c r="E62" s="1" t="s">
        <v>6</v>
      </c>
    </row>
    <row r="63" spans="1:5" x14ac:dyDescent="0.3">
      <c r="A63" s="1" t="s">
        <v>16</v>
      </c>
      <c r="B63">
        <v>1240</v>
      </c>
      <c r="C63">
        <v>2021</v>
      </c>
      <c r="D63">
        <v>975121</v>
      </c>
      <c r="E63" s="1" t="s">
        <v>6</v>
      </c>
    </row>
    <row r="64" spans="1:5" x14ac:dyDescent="0.3">
      <c r="A64" s="1" t="s">
        <v>16</v>
      </c>
      <c r="B64">
        <v>1240</v>
      </c>
      <c r="C64">
        <v>2022</v>
      </c>
      <c r="D64">
        <v>1083368</v>
      </c>
      <c r="E64" s="1" t="s">
        <v>6</v>
      </c>
    </row>
    <row r="65" spans="1:5" x14ac:dyDescent="0.3">
      <c r="A65" s="1" t="s">
        <v>16</v>
      </c>
      <c r="B65">
        <v>1240</v>
      </c>
      <c r="C65">
        <v>2023</v>
      </c>
      <c r="D65">
        <v>862625</v>
      </c>
      <c r="E65" s="1" t="s">
        <v>6</v>
      </c>
    </row>
    <row r="66" spans="1:5" x14ac:dyDescent="0.3">
      <c r="A66" s="1" t="s">
        <v>16</v>
      </c>
      <c r="B66">
        <v>1240</v>
      </c>
      <c r="C66">
        <v>2024</v>
      </c>
      <c r="D66">
        <v>704624</v>
      </c>
      <c r="E66" s="1" t="s">
        <v>6</v>
      </c>
    </row>
    <row r="67" spans="1:5" x14ac:dyDescent="0.3">
      <c r="A67" s="1" t="s">
        <v>16</v>
      </c>
      <c r="B67">
        <v>1240</v>
      </c>
      <c r="C67">
        <v>2025</v>
      </c>
      <c r="D67">
        <v>66000</v>
      </c>
      <c r="E67" s="1" t="s">
        <v>6</v>
      </c>
    </row>
    <row r="68" spans="1:5" x14ac:dyDescent="0.3">
      <c r="A68" s="1" t="s">
        <v>17</v>
      </c>
      <c r="B68">
        <v>1250</v>
      </c>
      <c r="C68">
        <v>2020</v>
      </c>
      <c r="D68">
        <v>1302369</v>
      </c>
      <c r="E68" s="1" t="s">
        <v>6</v>
      </c>
    </row>
    <row r="69" spans="1:5" x14ac:dyDescent="0.3">
      <c r="A69" s="1" t="s">
        <v>17</v>
      </c>
      <c r="B69">
        <v>1250</v>
      </c>
      <c r="C69">
        <v>2021</v>
      </c>
      <c r="D69">
        <v>2484861</v>
      </c>
      <c r="E69" s="1" t="s">
        <v>6</v>
      </c>
    </row>
    <row r="70" spans="1:5" x14ac:dyDescent="0.3">
      <c r="A70" s="1" t="s">
        <v>17</v>
      </c>
      <c r="B70">
        <v>1250</v>
      </c>
      <c r="C70">
        <v>2022</v>
      </c>
      <c r="D70">
        <v>1034196</v>
      </c>
      <c r="E70" s="1" t="s">
        <v>6</v>
      </c>
    </row>
    <row r="71" spans="1:5" x14ac:dyDescent="0.3">
      <c r="A71" s="1" t="s">
        <v>17</v>
      </c>
      <c r="B71">
        <v>1250</v>
      </c>
      <c r="C71">
        <v>2023</v>
      </c>
      <c r="D71">
        <v>42327</v>
      </c>
      <c r="E71" s="1" t="s">
        <v>6</v>
      </c>
    </row>
    <row r="72" spans="1:5" x14ac:dyDescent="0.3">
      <c r="A72" s="1" t="s">
        <v>17</v>
      </c>
      <c r="B72">
        <v>1250</v>
      </c>
      <c r="C72">
        <v>2024</v>
      </c>
      <c r="D72">
        <v>39658</v>
      </c>
      <c r="E72" s="1" t="s">
        <v>6</v>
      </c>
    </row>
    <row r="73" spans="1:5" x14ac:dyDescent="0.3">
      <c r="A73" s="1" t="s">
        <v>17</v>
      </c>
      <c r="B73">
        <v>1250</v>
      </c>
      <c r="C73">
        <v>2025</v>
      </c>
      <c r="D73">
        <v>9374</v>
      </c>
      <c r="E73" s="1" t="s">
        <v>6</v>
      </c>
    </row>
    <row r="74" spans="1:5" x14ac:dyDescent="0.3">
      <c r="A74" s="1" t="s">
        <v>18</v>
      </c>
      <c r="B74">
        <v>1260</v>
      </c>
      <c r="C74">
        <v>2020</v>
      </c>
      <c r="D74">
        <v>14870</v>
      </c>
      <c r="E74" s="1" t="s">
        <v>6</v>
      </c>
    </row>
    <row r="75" spans="1:5" x14ac:dyDescent="0.3">
      <c r="A75" s="1" t="s">
        <v>18</v>
      </c>
      <c r="B75">
        <v>1260</v>
      </c>
      <c r="C75">
        <v>2021</v>
      </c>
      <c r="D75">
        <v>16362</v>
      </c>
      <c r="E75" s="1" t="s">
        <v>6</v>
      </c>
    </row>
    <row r="76" spans="1:5" x14ac:dyDescent="0.3">
      <c r="A76" s="1" t="s">
        <v>18</v>
      </c>
      <c r="B76">
        <v>1260</v>
      </c>
      <c r="C76">
        <v>2022</v>
      </c>
      <c r="D76">
        <v>7189</v>
      </c>
      <c r="E76" s="1" t="s">
        <v>6</v>
      </c>
    </row>
    <row r="77" spans="1:5" x14ac:dyDescent="0.3">
      <c r="A77" s="1" t="s">
        <v>18</v>
      </c>
      <c r="B77">
        <v>1260</v>
      </c>
      <c r="C77">
        <v>2023</v>
      </c>
      <c r="D77">
        <v>26</v>
      </c>
      <c r="E77" s="1" t="s">
        <v>6</v>
      </c>
    </row>
    <row r="78" spans="1:5" x14ac:dyDescent="0.3">
      <c r="A78" s="1" t="s">
        <v>18</v>
      </c>
      <c r="B78">
        <v>1260</v>
      </c>
      <c r="C78">
        <v>2024</v>
      </c>
      <c r="D78">
        <v>182</v>
      </c>
      <c r="E78" s="1" t="s">
        <v>6</v>
      </c>
    </row>
    <row r="79" spans="1:5" x14ac:dyDescent="0.3">
      <c r="A79" s="1" t="s">
        <v>18</v>
      </c>
      <c r="B79">
        <v>1260</v>
      </c>
      <c r="C79">
        <v>2025</v>
      </c>
      <c r="D79">
        <v>0</v>
      </c>
      <c r="E79" s="1" t="s">
        <v>6</v>
      </c>
    </row>
    <row r="80" spans="1:5" x14ac:dyDescent="0.3">
      <c r="A80" s="1" t="s">
        <v>19</v>
      </c>
      <c r="B80">
        <v>1300</v>
      </c>
      <c r="C80">
        <v>2020</v>
      </c>
      <c r="D80">
        <v>2957634</v>
      </c>
      <c r="E80" s="1" t="s">
        <v>6</v>
      </c>
    </row>
    <row r="81" spans="1:5" x14ac:dyDescent="0.3">
      <c r="A81" s="1" t="s">
        <v>19</v>
      </c>
      <c r="B81">
        <v>1300</v>
      </c>
      <c r="C81">
        <v>2021</v>
      </c>
      <c r="D81">
        <v>3975662</v>
      </c>
      <c r="E81" s="1" t="s">
        <v>6</v>
      </c>
    </row>
    <row r="82" spans="1:5" x14ac:dyDescent="0.3">
      <c r="A82" s="1" t="s">
        <v>19</v>
      </c>
      <c r="B82">
        <v>1300</v>
      </c>
      <c r="C82">
        <v>2022</v>
      </c>
      <c r="D82">
        <v>3557540</v>
      </c>
      <c r="E82" s="1" t="s">
        <v>6</v>
      </c>
    </row>
    <row r="83" spans="1:5" x14ac:dyDescent="0.3">
      <c r="A83" s="1" t="s">
        <v>19</v>
      </c>
      <c r="B83">
        <v>1300</v>
      </c>
      <c r="C83">
        <v>2023</v>
      </c>
      <c r="D83">
        <v>3144989</v>
      </c>
      <c r="E83" s="1" t="s">
        <v>6</v>
      </c>
    </row>
    <row r="84" spans="1:5" x14ac:dyDescent="0.3">
      <c r="A84" s="1" t="s">
        <v>19</v>
      </c>
      <c r="B84">
        <v>1300</v>
      </c>
      <c r="C84">
        <v>2024</v>
      </c>
      <c r="D84">
        <v>2914586</v>
      </c>
      <c r="E84" s="1" t="s">
        <v>6</v>
      </c>
    </row>
    <row r="85" spans="1:5" x14ac:dyDescent="0.3">
      <c r="A85" s="1" t="s">
        <v>19</v>
      </c>
      <c r="B85">
        <v>1300</v>
      </c>
      <c r="C85">
        <v>2025</v>
      </c>
      <c r="D85">
        <v>2539094</v>
      </c>
      <c r="E85" s="1" t="s">
        <v>6</v>
      </c>
    </row>
    <row r="86" spans="1:5" x14ac:dyDescent="0.3">
      <c r="A86" s="1" t="s">
        <v>52</v>
      </c>
      <c r="B86">
        <v>1310</v>
      </c>
      <c r="C86">
        <v>2020</v>
      </c>
      <c r="D86">
        <v>73</v>
      </c>
      <c r="E86" s="1" t="s">
        <v>6</v>
      </c>
    </row>
    <row r="87" spans="1:5" x14ac:dyDescent="0.3">
      <c r="A87" s="1" t="s">
        <v>52</v>
      </c>
      <c r="B87">
        <v>1310</v>
      </c>
      <c r="C87">
        <v>2021</v>
      </c>
      <c r="D87">
        <v>73</v>
      </c>
      <c r="E87" s="1" t="s">
        <v>6</v>
      </c>
    </row>
    <row r="88" spans="1:5" x14ac:dyDescent="0.3">
      <c r="A88" s="1" t="s">
        <v>52</v>
      </c>
      <c r="B88">
        <v>1310</v>
      </c>
      <c r="C88">
        <v>2022</v>
      </c>
      <c r="D88">
        <v>73</v>
      </c>
      <c r="E88" s="1" t="s">
        <v>6</v>
      </c>
    </row>
    <row r="89" spans="1:5" x14ac:dyDescent="0.3">
      <c r="A89" s="1" t="s">
        <v>53</v>
      </c>
      <c r="B89">
        <v>1310</v>
      </c>
      <c r="C89">
        <v>2023</v>
      </c>
      <c r="D89">
        <v>73</v>
      </c>
      <c r="E89" s="1" t="s">
        <v>6</v>
      </c>
    </row>
    <row r="90" spans="1:5" x14ac:dyDescent="0.3">
      <c r="A90" s="1" t="s">
        <v>53</v>
      </c>
      <c r="B90">
        <v>1310</v>
      </c>
      <c r="C90">
        <v>2024</v>
      </c>
      <c r="D90">
        <v>73</v>
      </c>
      <c r="E90" s="1" t="s">
        <v>6</v>
      </c>
    </row>
    <row r="91" spans="1:5" x14ac:dyDescent="0.3">
      <c r="A91" s="1" t="s">
        <v>53</v>
      </c>
      <c r="B91">
        <v>1310</v>
      </c>
      <c r="C91">
        <v>2025</v>
      </c>
      <c r="D91">
        <v>73</v>
      </c>
      <c r="E91" s="1" t="s">
        <v>6</v>
      </c>
    </row>
    <row r="92" spans="1:5" x14ac:dyDescent="0.3">
      <c r="A92" s="1" t="s">
        <v>54</v>
      </c>
      <c r="B92">
        <v>1350</v>
      </c>
      <c r="C92">
        <v>2020</v>
      </c>
      <c r="D92">
        <v>44798</v>
      </c>
      <c r="E92" s="1" t="s">
        <v>6</v>
      </c>
    </row>
    <row r="93" spans="1:5" x14ac:dyDescent="0.3">
      <c r="A93" s="1" t="s">
        <v>54</v>
      </c>
      <c r="B93">
        <v>1350</v>
      </c>
      <c r="C93">
        <v>2021</v>
      </c>
      <c r="D93">
        <v>44798</v>
      </c>
      <c r="E93" s="1" t="s">
        <v>6</v>
      </c>
    </row>
    <row r="94" spans="1:5" x14ac:dyDescent="0.3">
      <c r="A94" s="1" t="s">
        <v>54</v>
      </c>
      <c r="B94">
        <v>1350</v>
      </c>
      <c r="C94">
        <v>2022</v>
      </c>
      <c r="D94">
        <v>54663</v>
      </c>
      <c r="E94" s="1" t="s">
        <v>6</v>
      </c>
    </row>
    <row r="95" spans="1:5" x14ac:dyDescent="0.3">
      <c r="A95" s="1" t="s">
        <v>55</v>
      </c>
      <c r="B95">
        <v>1350</v>
      </c>
      <c r="C95">
        <v>2023</v>
      </c>
      <c r="D95">
        <v>54663</v>
      </c>
      <c r="E95" s="1" t="s">
        <v>6</v>
      </c>
    </row>
    <row r="96" spans="1:5" x14ac:dyDescent="0.3">
      <c r="A96" s="1" t="s">
        <v>55</v>
      </c>
      <c r="B96">
        <v>1350</v>
      </c>
      <c r="C96">
        <v>2024</v>
      </c>
      <c r="D96">
        <v>54663</v>
      </c>
      <c r="E96" s="1" t="s">
        <v>6</v>
      </c>
    </row>
    <row r="97" spans="1:5" x14ac:dyDescent="0.3">
      <c r="A97" s="1" t="s">
        <v>55</v>
      </c>
      <c r="B97">
        <v>1350</v>
      </c>
      <c r="C97">
        <v>2025</v>
      </c>
      <c r="D97">
        <v>54663</v>
      </c>
      <c r="E97" s="1" t="s">
        <v>6</v>
      </c>
    </row>
    <row r="98" spans="1:5" x14ac:dyDescent="0.3">
      <c r="A98" s="1" t="s">
        <v>22</v>
      </c>
      <c r="B98">
        <v>1370</v>
      </c>
      <c r="C98">
        <v>2020</v>
      </c>
      <c r="D98">
        <v>2912763</v>
      </c>
      <c r="E98" s="1" t="s">
        <v>6</v>
      </c>
    </row>
    <row r="99" spans="1:5" x14ac:dyDescent="0.3">
      <c r="A99" s="1" t="s">
        <v>22</v>
      </c>
      <c r="B99">
        <v>1370</v>
      </c>
      <c r="C99">
        <v>2021</v>
      </c>
      <c r="D99">
        <v>3930791</v>
      </c>
      <c r="E99" s="1" t="s">
        <v>6</v>
      </c>
    </row>
    <row r="100" spans="1:5" x14ac:dyDescent="0.3">
      <c r="A100" s="1" t="s">
        <v>22</v>
      </c>
      <c r="B100">
        <v>1370</v>
      </c>
      <c r="C100">
        <v>2022</v>
      </c>
      <c r="D100">
        <v>3502804</v>
      </c>
      <c r="E100" s="1" t="s">
        <v>6</v>
      </c>
    </row>
    <row r="101" spans="1:5" x14ac:dyDescent="0.3">
      <c r="A101" s="1" t="s">
        <v>22</v>
      </c>
      <c r="B101">
        <v>1370</v>
      </c>
      <c r="C101">
        <v>2023</v>
      </c>
      <c r="D101">
        <v>3090253</v>
      </c>
      <c r="E101" s="1" t="s">
        <v>6</v>
      </c>
    </row>
    <row r="102" spans="1:5" x14ac:dyDescent="0.3">
      <c r="A102" s="1" t="s">
        <v>22</v>
      </c>
      <c r="B102">
        <v>1370</v>
      </c>
      <c r="C102">
        <v>2024</v>
      </c>
      <c r="D102">
        <v>2859850</v>
      </c>
      <c r="E102" s="1" t="s">
        <v>6</v>
      </c>
    </row>
    <row r="103" spans="1:5" x14ac:dyDescent="0.3">
      <c r="A103" s="1" t="s">
        <v>22</v>
      </c>
      <c r="B103">
        <v>1370</v>
      </c>
      <c r="C103">
        <v>2025</v>
      </c>
      <c r="D103">
        <v>2484358</v>
      </c>
      <c r="E103" s="1" t="s">
        <v>6</v>
      </c>
    </row>
    <row r="104" spans="1:5" x14ac:dyDescent="0.3">
      <c r="A104" s="1" t="s">
        <v>23</v>
      </c>
      <c r="B104">
        <v>1400</v>
      </c>
      <c r="C104">
        <v>2020</v>
      </c>
      <c r="D104">
        <v>230</v>
      </c>
      <c r="E104" s="1" t="s">
        <v>6</v>
      </c>
    </row>
    <row r="105" spans="1:5" x14ac:dyDescent="0.3">
      <c r="A105" s="1" t="s">
        <v>23</v>
      </c>
      <c r="B105">
        <v>1400</v>
      </c>
      <c r="C105">
        <v>2021</v>
      </c>
      <c r="D105">
        <v>153735</v>
      </c>
      <c r="E105" s="1" t="s">
        <v>6</v>
      </c>
    </row>
    <row r="106" spans="1:5" x14ac:dyDescent="0.3">
      <c r="A106" s="1" t="s">
        <v>23</v>
      </c>
      <c r="B106">
        <v>1400</v>
      </c>
      <c r="C106">
        <v>2022</v>
      </c>
      <c r="D106">
        <v>132813</v>
      </c>
      <c r="E106" s="1" t="s">
        <v>6</v>
      </c>
    </row>
    <row r="107" spans="1:5" x14ac:dyDescent="0.3">
      <c r="A107" s="1" t="s">
        <v>23</v>
      </c>
      <c r="B107">
        <v>1400</v>
      </c>
      <c r="C107">
        <v>2023</v>
      </c>
      <c r="D107">
        <v>590089</v>
      </c>
      <c r="E107" s="1" t="s">
        <v>6</v>
      </c>
    </row>
    <row r="108" spans="1:5" x14ac:dyDescent="0.3">
      <c r="A108" s="1" t="s">
        <v>23</v>
      </c>
      <c r="B108">
        <v>1400</v>
      </c>
      <c r="C108">
        <v>2024</v>
      </c>
      <c r="D108">
        <v>633626</v>
      </c>
      <c r="E108" s="1" t="s">
        <v>6</v>
      </c>
    </row>
    <row r="109" spans="1:5" x14ac:dyDescent="0.3">
      <c r="A109" s="1" t="s">
        <v>23</v>
      </c>
      <c r="B109">
        <v>1400</v>
      </c>
      <c r="C109">
        <v>2025</v>
      </c>
      <c r="D109">
        <v>2067866</v>
      </c>
      <c r="E109" s="1" t="s">
        <v>6</v>
      </c>
    </row>
    <row r="110" spans="1:5" x14ac:dyDescent="0.3">
      <c r="A110" s="1" t="s">
        <v>24</v>
      </c>
      <c r="B110">
        <v>1410</v>
      </c>
      <c r="C110">
        <v>2020</v>
      </c>
      <c r="D110">
        <v>0</v>
      </c>
      <c r="E110" s="1" t="s">
        <v>6</v>
      </c>
    </row>
    <row r="111" spans="1:5" x14ac:dyDescent="0.3">
      <c r="A111" s="1" t="s">
        <v>24</v>
      </c>
      <c r="B111">
        <v>1410</v>
      </c>
      <c r="C111">
        <v>2021</v>
      </c>
      <c r="D111">
        <v>120000</v>
      </c>
      <c r="E111" s="1" t="s">
        <v>6</v>
      </c>
    </row>
    <row r="112" spans="1:5" x14ac:dyDescent="0.3">
      <c r="A112" s="1" t="s">
        <v>24</v>
      </c>
      <c r="B112">
        <v>1410</v>
      </c>
      <c r="C112">
        <v>2022</v>
      </c>
      <c r="D112">
        <v>120000</v>
      </c>
      <c r="E112" s="1" t="s">
        <v>6</v>
      </c>
    </row>
    <row r="113" spans="1:5" x14ac:dyDescent="0.3">
      <c r="A113" s="1" t="s">
        <v>24</v>
      </c>
      <c r="B113">
        <v>1410</v>
      </c>
      <c r="C113">
        <v>2023</v>
      </c>
      <c r="D113">
        <v>580000</v>
      </c>
      <c r="E113" s="1" t="s">
        <v>6</v>
      </c>
    </row>
    <row r="114" spans="1:5" x14ac:dyDescent="0.3">
      <c r="A114" s="1" t="s">
        <v>24</v>
      </c>
      <c r="B114">
        <v>1410</v>
      </c>
      <c r="C114">
        <v>2024</v>
      </c>
      <c r="D114">
        <v>605000</v>
      </c>
      <c r="E114" s="1" t="s">
        <v>6</v>
      </c>
    </row>
    <row r="115" spans="1:5" x14ac:dyDescent="0.3">
      <c r="A115" s="1" t="s">
        <v>24</v>
      </c>
      <c r="B115">
        <v>1410</v>
      </c>
      <c r="C115">
        <v>2025</v>
      </c>
      <c r="D115">
        <v>2039000</v>
      </c>
      <c r="E115" s="1" t="s">
        <v>6</v>
      </c>
    </row>
    <row r="116" spans="1:5" x14ac:dyDescent="0.3">
      <c r="A116" s="1" t="s">
        <v>25</v>
      </c>
      <c r="B116">
        <v>1420</v>
      </c>
      <c r="C116">
        <v>2020</v>
      </c>
      <c r="D116">
        <v>230</v>
      </c>
      <c r="E116" s="1" t="s">
        <v>6</v>
      </c>
    </row>
    <row r="117" spans="1:5" x14ac:dyDescent="0.3">
      <c r="A117" s="1" t="s">
        <v>25</v>
      </c>
      <c r="B117">
        <v>1420</v>
      </c>
      <c r="C117">
        <v>2021</v>
      </c>
      <c r="D117">
        <v>1207</v>
      </c>
      <c r="E117" s="1" t="s">
        <v>6</v>
      </c>
    </row>
    <row r="118" spans="1:5" x14ac:dyDescent="0.3">
      <c r="A118" s="1" t="s">
        <v>25</v>
      </c>
      <c r="B118">
        <v>1420</v>
      </c>
      <c r="C118">
        <v>2022</v>
      </c>
      <c r="D118">
        <v>0</v>
      </c>
      <c r="E118" s="1" t="s">
        <v>6</v>
      </c>
    </row>
    <row r="119" spans="1:5" x14ac:dyDescent="0.3">
      <c r="A119" s="1" t="s">
        <v>25</v>
      </c>
      <c r="B119">
        <v>1420</v>
      </c>
      <c r="C119">
        <v>2023</v>
      </c>
      <c r="D119">
        <v>3476</v>
      </c>
      <c r="E119" s="1" t="s">
        <v>6</v>
      </c>
    </row>
    <row r="120" spans="1:5" x14ac:dyDescent="0.3">
      <c r="A120" s="1" t="s">
        <v>25</v>
      </c>
      <c r="B120">
        <v>1420</v>
      </c>
      <c r="C120">
        <v>2024</v>
      </c>
      <c r="D120">
        <v>7474</v>
      </c>
      <c r="E120" s="1" t="s">
        <v>6</v>
      </c>
    </row>
    <row r="121" spans="1:5" x14ac:dyDescent="0.3">
      <c r="A121" s="1" t="s">
        <v>25</v>
      </c>
      <c r="B121">
        <v>1420</v>
      </c>
      <c r="C121">
        <v>2025</v>
      </c>
      <c r="D121">
        <v>28866</v>
      </c>
      <c r="E121" s="1" t="s">
        <v>6</v>
      </c>
    </row>
    <row r="122" spans="1:5" x14ac:dyDescent="0.3">
      <c r="A122" s="1" t="s">
        <v>56</v>
      </c>
      <c r="B122">
        <v>1450</v>
      </c>
      <c r="C122">
        <v>2020</v>
      </c>
      <c r="D122">
        <v>0</v>
      </c>
      <c r="E122" s="1" t="s">
        <v>6</v>
      </c>
    </row>
    <row r="123" spans="1:5" x14ac:dyDescent="0.3">
      <c r="A123" s="1" t="s">
        <v>56</v>
      </c>
      <c r="B123">
        <v>1450</v>
      </c>
      <c r="C123">
        <v>2021</v>
      </c>
      <c r="D123">
        <v>32528</v>
      </c>
      <c r="E123" s="1" t="s">
        <v>6</v>
      </c>
    </row>
    <row r="124" spans="1:5" x14ac:dyDescent="0.3">
      <c r="A124" s="1" t="s">
        <v>56</v>
      </c>
      <c r="B124">
        <v>1450</v>
      </c>
      <c r="C124">
        <v>2022</v>
      </c>
      <c r="D124">
        <v>12813</v>
      </c>
      <c r="E124" s="1" t="s">
        <v>6</v>
      </c>
    </row>
    <row r="125" spans="1:5" x14ac:dyDescent="0.3">
      <c r="A125" s="1" t="s">
        <v>57</v>
      </c>
      <c r="B125">
        <v>1450</v>
      </c>
      <c r="C125">
        <v>2023</v>
      </c>
      <c r="D125">
        <v>6613</v>
      </c>
      <c r="E125" s="1" t="s">
        <v>6</v>
      </c>
    </row>
    <row r="126" spans="1:5" x14ac:dyDescent="0.3">
      <c r="A126" s="1" t="s">
        <v>57</v>
      </c>
      <c r="B126">
        <v>1450</v>
      </c>
      <c r="C126">
        <v>2024</v>
      </c>
      <c r="D126">
        <v>21152</v>
      </c>
      <c r="E126" s="1" t="s">
        <v>6</v>
      </c>
    </row>
    <row r="127" spans="1:5" x14ac:dyDescent="0.3">
      <c r="A127" s="1" t="s">
        <v>57</v>
      </c>
      <c r="B127">
        <v>1450</v>
      </c>
      <c r="C127">
        <v>2025</v>
      </c>
      <c r="D127">
        <v>0</v>
      </c>
      <c r="E127" s="1" t="s">
        <v>6</v>
      </c>
    </row>
    <row r="128" spans="1:5" x14ac:dyDescent="0.3">
      <c r="A128" s="1" t="s">
        <v>27</v>
      </c>
      <c r="B128">
        <v>1500</v>
      </c>
      <c r="C128">
        <v>2020</v>
      </c>
      <c r="D128">
        <v>61121</v>
      </c>
      <c r="E128" s="1" t="s">
        <v>6</v>
      </c>
    </row>
    <row r="129" spans="1:5" x14ac:dyDescent="0.3">
      <c r="A129" s="1" t="s">
        <v>27</v>
      </c>
      <c r="B129">
        <v>1500</v>
      </c>
      <c r="C129">
        <v>2021</v>
      </c>
      <c r="D129">
        <v>316336</v>
      </c>
      <c r="E129" s="1" t="s">
        <v>6</v>
      </c>
    </row>
    <row r="130" spans="1:5" x14ac:dyDescent="0.3">
      <c r="A130" s="1" t="s">
        <v>27</v>
      </c>
      <c r="B130">
        <v>1500</v>
      </c>
      <c r="C130">
        <v>2022</v>
      </c>
      <c r="D130">
        <v>279505</v>
      </c>
      <c r="E130" s="1" t="s">
        <v>6</v>
      </c>
    </row>
    <row r="131" spans="1:5" x14ac:dyDescent="0.3">
      <c r="A131" s="1" t="s">
        <v>27</v>
      </c>
      <c r="B131">
        <v>1500</v>
      </c>
      <c r="C131">
        <v>2023</v>
      </c>
      <c r="D131">
        <v>248420</v>
      </c>
      <c r="E131" s="1" t="s">
        <v>6</v>
      </c>
    </row>
    <row r="132" spans="1:5" x14ac:dyDescent="0.3">
      <c r="A132" s="1" t="s">
        <v>27</v>
      </c>
      <c r="B132">
        <v>1500</v>
      </c>
      <c r="C132">
        <v>2024</v>
      </c>
      <c r="D132">
        <v>739267</v>
      </c>
      <c r="E132" s="1" t="s">
        <v>6</v>
      </c>
    </row>
    <row r="133" spans="1:5" x14ac:dyDescent="0.3">
      <c r="A133" s="1" t="s">
        <v>27</v>
      </c>
      <c r="B133">
        <v>1500</v>
      </c>
      <c r="C133">
        <v>2025</v>
      </c>
      <c r="D133">
        <v>1341796</v>
      </c>
      <c r="E133" s="1" t="s">
        <v>6</v>
      </c>
    </row>
    <row r="134" spans="1:5" x14ac:dyDescent="0.3">
      <c r="A134" s="1" t="s">
        <v>24</v>
      </c>
      <c r="B134">
        <v>1510</v>
      </c>
      <c r="C134">
        <v>2020</v>
      </c>
      <c r="D134">
        <v>0</v>
      </c>
      <c r="E134" s="1" t="s">
        <v>6</v>
      </c>
    </row>
    <row r="135" spans="1:5" x14ac:dyDescent="0.3">
      <c r="A135" s="1" t="s">
        <v>24</v>
      </c>
      <c r="B135">
        <v>1510</v>
      </c>
      <c r="C135">
        <v>2021</v>
      </c>
      <c r="D135">
        <v>0</v>
      </c>
      <c r="E135" s="1" t="s">
        <v>6</v>
      </c>
    </row>
    <row r="136" spans="1:5" x14ac:dyDescent="0.3">
      <c r="A136" s="1" t="s">
        <v>24</v>
      </c>
      <c r="B136">
        <v>1510</v>
      </c>
      <c r="C136">
        <v>2022</v>
      </c>
      <c r="D136">
        <v>0</v>
      </c>
      <c r="E136" s="1" t="s">
        <v>6</v>
      </c>
    </row>
    <row r="137" spans="1:5" x14ac:dyDescent="0.3">
      <c r="A137" s="1" t="s">
        <v>24</v>
      </c>
      <c r="B137">
        <v>1510</v>
      </c>
      <c r="C137">
        <v>2023</v>
      </c>
      <c r="D137">
        <v>0</v>
      </c>
      <c r="E137" s="1" t="s">
        <v>6</v>
      </c>
    </row>
    <row r="138" spans="1:5" x14ac:dyDescent="0.3">
      <c r="A138" s="1" t="s">
        <v>24</v>
      </c>
      <c r="B138">
        <v>1510</v>
      </c>
      <c r="C138">
        <v>2024</v>
      </c>
      <c r="D138">
        <v>0</v>
      </c>
      <c r="E138" s="1" t="s">
        <v>6</v>
      </c>
    </row>
    <row r="139" spans="1:5" x14ac:dyDescent="0.3">
      <c r="A139" s="1" t="s">
        <v>24</v>
      </c>
      <c r="B139">
        <v>1510</v>
      </c>
      <c r="C139">
        <v>2025</v>
      </c>
      <c r="D139">
        <v>0</v>
      </c>
      <c r="E139" s="1" t="s">
        <v>6</v>
      </c>
    </row>
    <row r="140" spans="1:5" x14ac:dyDescent="0.3">
      <c r="A140" s="1" t="s">
        <v>28</v>
      </c>
      <c r="B140">
        <v>1520</v>
      </c>
      <c r="C140">
        <v>2020</v>
      </c>
      <c r="D140">
        <v>31177</v>
      </c>
      <c r="E140" s="1" t="s">
        <v>6</v>
      </c>
    </row>
    <row r="141" spans="1:5" x14ac:dyDescent="0.3">
      <c r="A141" s="1" t="s">
        <v>28</v>
      </c>
      <c r="B141">
        <v>1520</v>
      </c>
      <c r="C141">
        <v>2021</v>
      </c>
      <c r="D141">
        <v>286098</v>
      </c>
      <c r="E141" s="1" t="s">
        <v>6</v>
      </c>
    </row>
    <row r="142" spans="1:5" x14ac:dyDescent="0.3">
      <c r="A142" s="1" t="s">
        <v>28</v>
      </c>
      <c r="B142">
        <v>1520</v>
      </c>
      <c r="C142">
        <v>2022</v>
      </c>
      <c r="D142">
        <v>237311</v>
      </c>
      <c r="E142" s="1" t="s">
        <v>6</v>
      </c>
    </row>
    <row r="143" spans="1:5" x14ac:dyDescent="0.3">
      <c r="A143" s="1" t="s">
        <v>28</v>
      </c>
      <c r="B143">
        <v>1520</v>
      </c>
      <c r="C143">
        <v>2023</v>
      </c>
      <c r="D143">
        <v>190284</v>
      </c>
      <c r="E143" s="1" t="s">
        <v>6</v>
      </c>
    </row>
    <row r="144" spans="1:5" x14ac:dyDescent="0.3">
      <c r="A144" s="1" t="s">
        <v>28</v>
      </c>
      <c r="B144">
        <v>1520</v>
      </c>
      <c r="C144">
        <v>2024</v>
      </c>
      <c r="D144">
        <v>666648</v>
      </c>
      <c r="E144" s="1" t="s">
        <v>6</v>
      </c>
    </row>
    <row r="145" spans="1:5" x14ac:dyDescent="0.3">
      <c r="A145" s="1" t="s">
        <v>28</v>
      </c>
      <c r="B145">
        <v>1520</v>
      </c>
      <c r="C145">
        <v>2025</v>
      </c>
      <c r="D145">
        <v>1228249</v>
      </c>
      <c r="E145" s="1" t="s">
        <v>6</v>
      </c>
    </row>
    <row r="146" spans="1:5" x14ac:dyDescent="0.3">
      <c r="A146" s="1" t="s">
        <v>29</v>
      </c>
      <c r="B146">
        <v>1540</v>
      </c>
      <c r="C146">
        <v>2020</v>
      </c>
      <c r="D146">
        <v>29924</v>
      </c>
      <c r="E146" s="1" t="s">
        <v>6</v>
      </c>
    </row>
    <row r="147" spans="1:5" x14ac:dyDescent="0.3">
      <c r="A147" s="1" t="s">
        <v>29</v>
      </c>
      <c r="B147">
        <v>1540</v>
      </c>
      <c r="C147">
        <v>2021</v>
      </c>
      <c r="D147">
        <v>30222</v>
      </c>
      <c r="E147" s="1" t="s">
        <v>6</v>
      </c>
    </row>
    <row r="148" spans="1:5" x14ac:dyDescent="0.3">
      <c r="A148" s="1" t="s">
        <v>29</v>
      </c>
      <c r="B148">
        <v>1540</v>
      </c>
      <c r="C148">
        <v>2022</v>
      </c>
      <c r="D148">
        <v>42185</v>
      </c>
      <c r="E148" s="1" t="s">
        <v>6</v>
      </c>
    </row>
    <row r="149" spans="1:5" x14ac:dyDescent="0.3">
      <c r="A149" s="1" t="s">
        <v>29</v>
      </c>
      <c r="B149">
        <v>1540</v>
      </c>
      <c r="C149">
        <v>2023</v>
      </c>
      <c r="D149">
        <v>58126</v>
      </c>
      <c r="E149" s="1" t="s">
        <v>6</v>
      </c>
    </row>
    <row r="150" spans="1:5" x14ac:dyDescent="0.3">
      <c r="A150" s="1" t="s">
        <v>29</v>
      </c>
      <c r="B150">
        <v>1540</v>
      </c>
      <c r="C150">
        <v>2024</v>
      </c>
      <c r="D150">
        <v>71456</v>
      </c>
      <c r="E150" s="1" t="s">
        <v>6</v>
      </c>
    </row>
    <row r="151" spans="1:5" x14ac:dyDescent="0.3">
      <c r="A151" s="1" t="s">
        <v>29</v>
      </c>
      <c r="B151">
        <v>1540</v>
      </c>
      <c r="C151">
        <v>2025</v>
      </c>
      <c r="D151">
        <v>81334</v>
      </c>
      <c r="E151" s="1" t="s">
        <v>6</v>
      </c>
    </row>
    <row r="152" spans="1:5" x14ac:dyDescent="0.3">
      <c r="A152" s="1" t="s">
        <v>56</v>
      </c>
      <c r="B152">
        <v>1550</v>
      </c>
      <c r="C152">
        <v>2020</v>
      </c>
      <c r="D152">
        <v>20</v>
      </c>
      <c r="E152" s="1" t="s">
        <v>6</v>
      </c>
    </row>
    <row r="153" spans="1:5" x14ac:dyDescent="0.3">
      <c r="A153" s="1" t="s">
        <v>56</v>
      </c>
      <c r="B153">
        <v>1550</v>
      </c>
      <c r="C153">
        <v>2021</v>
      </c>
      <c r="D153">
        <v>16</v>
      </c>
      <c r="E153" s="1" t="s">
        <v>6</v>
      </c>
    </row>
    <row r="154" spans="1:5" x14ac:dyDescent="0.3">
      <c r="A154" s="1" t="s">
        <v>56</v>
      </c>
      <c r="B154">
        <v>1550</v>
      </c>
      <c r="C154">
        <v>2022</v>
      </c>
      <c r="D154">
        <v>9</v>
      </c>
      <c r="E154" s="1" t="s">
        <v>6</v>
      </c>
    </row>
    <row r="155" spans="1:5" x14ac:dyDescent="0.3">
      <c r="A155" s="1" t="s">
        <v>26</v>
      </c>
      <c r="B155">
        <v>1550</v>
      </c>
      <c r="C155">
        <v>2023</v>
      </c>
      <c r="D155">
        <v>10</v>
      </c>
      <c r="E155" s="1" t="s">
        <v>6</v>
      </c>
    </row>
    <row r="156" spans="1:5" x14ac:dyDescent="0.3">
      <c r="A156" s="1" t="s">
        <v>26</v>
      </c>
      <c r="B156">
        <v>1550</v>
      </c>
      <c r="C156">
        <v>2024</v>
      </c>
      <c r="D156">
        <v>1163</v>
      </c>
      <c r="E156" s="1" t="s">
        <v>6</v>
      </c>
    </row>
    <row r="157" spans="1:5" x14ac:dyDescent="0.3">
      <c r="A157" s="1" t="s">
        <v>26</v>
      </c>
      <c r="B157">
        <v>1550</v>
      </c>
      <c r="C157">
        <v>2025</v>
      </c>
      <c r="D157">
        <v>442</v>
      </c>
      <c r="E157" s="1" t="s">
        <v>6</v>
      </c>
    </row>
    <row r="158" spans="1:5" x14ac:dyDescent="0.3">
      <c r="A158" s="1" t="s">
        <v>58</v>
      </c>
      <c r="B158">
        <v>1600</v>
      </c>
      <c r="C158">
        <v>2020</v>
      </c>
      <c r="D158">
        <v>3018985</v>
      </c>
      <c r="E158" s="1" t="s">
        <v>6</v>
      </c>
    </row>
    <row r="159" spans="1:5" x14ac:dyDescent="0.3">
      <c r="A159" s="1" t="s">
        <v>58</v>
      </c>
      <c r="B159">
        <v>1600</v>
      </c>
      <c r="C159">
        <v>2021</v>
      </c>
      <c r="D159">
        <v>4445733</v>
      </c>
      <c r="E159" s="1" t="s">
        <v>6</v>
      </c>
    </row>
    <row r="160" spans="1:5" x14ac:dyDescent="0.3">
      <c r="A160" s="1" t="s">
        <v>58</v>
      </c>
      <c r="B160">
        <v>1600</v>
      </c>
      <c r="C160">
        <v>2022</v>
      </c>
      <c r="D160">
        <v>3969858</v>
      </c>
      <c r="E160" s="1" t="s">
        <v>6</v>
      </c>
    </row>
    <row r="161" spans="1:5" x14ac:dyDescent="0.3">
      <c r="A161" s="1" t="s">
        <v>30</v>
      </c>
      <c r="B161">
        <v>1600</v>
      </c>
      <c r="C161">
        <v>2023</v>
      </c>
      <c r="D161">
        <v>3983498</v>
      </c>
      <c r="E161" s="1" t="s">
        <v>6</v>
      </c>
    </row>
    <row r="162" spans="1:5" x14ac:dyDescent="0.3">
      <c r="A162" s="1" t="s">
        <v>30</v>
      </c>
      <c r="B162">
        <v>1600</v>
      </c>
      <c r="C162">
        <v>2024</v>
      </c>
      <c r="D162">
        <v>4287479</v>
      </c>
      <c r="E162" s="1" t="s">
        <v>6</v>
      </c>
    </row>
    <row r="163" spans="1:5" x14ac:dyDescent="0.3">
      <c r="A163" s="1" t="s">
        <v>30</v>
      </c>
      <c r="B163">
        <v>1600</v>
      </c>
      <c r="C163">
        <v>2025</v>
      </c>
      <c r="D163">
        <v>5948756</v>
      </c>
      <c r="E163" s="1" t="s">
        <v>6</v>
      </c>
    </row>
    <row r="164" spans="1:5" x14ac:dyDescent="0.3">
      <c r="A164" s="1" t="s">
        <v>58</v>
      </c>
      <c r="B164">
        <v>1700</v>
      </c>
      <c r="C164">
        <v>2020</v>
      </c>
      <c r="D164">
        <v>3018985</v>
      </c>
      <c r="E164" s="1" t="s">
        <v>6</v>
      </c>
    </row>
    <row r="165" spans="1:5" x14ac:dyDescent="0.3">
      <c r="A165" s="1" t="s">
        <v>58</v>
      </c>
      <c r="B165">
        <v>1700</v>
      </c>
      <c r="C165">
        <v>2021</v>
      </c>
      <c r="D165">
        <v>4445733</v>
      </c>
      <c r="E165" s="1" t="s">
        <v>6</v>
      </c>
    </row>
    <row r="166" spans="1:5" x14ac:dyDescent="0.3">
      <c r="A166" s="1" t="s">
        <v>58</v>
      </c>
      <c r="B166">
        <v>1700</v>
      </c>
      <c r="C166">
        <v>2022</v>
      </c>
      <c r="D166">
        <v>3969858</v>
      </c>
      <c r="E166" s="1" t="s">
        <v>6</v>
      </c>
    </row>
    <row r="167" spans="1:5" x14ac:dyDescent="0.3">
      <c r="A167" s="1" t="s">
        <v>59</v>
      </c>
      <c r="B167">
        <v>1700</v>
      </c>
      <c r="C167">
        <v>2023</v>
      </c>
      <c r="D167">
        <v>3983498</v>
      </c>
      <c r="E167" s="1" t="s">
        <v>6</v>
      </c>
    </row>
    <row r="168" spans="1:5" x14ac:dyDescent="0.3">
      <c r="A168" s="1" t="s">
        <v>59</v>
      </c>
      <c r="B168">
        <v>1700</v>
      </c>
      <c r="C168">
        <v>2024</v>
      </c>
      <c r="D168">
        <v>4287479</v>
      </c>
      <c r="E168" s="1" t="s">
        <v>6</v>
      </c>
    </row>
    <row r="169" spans="1:5" x14ac:dyDescent="0.3">
      <c r="A169" s="1" t="s">
        <v>59</v>
      </c>
      <c r="B169">
        <v>1700</v>
      </c>
      <c r="C169">
        <v>2025</v>
      </c>
      <c r="D169">
        <v>5948756</v>
      </c>
      <c r="E169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"/>
  <sheetViews>
    <sheetView workbookViewId="0"/>
  </sheetViews>
  <sheetFormatPr defaultRowHeight="14.4" x14ac:dyDescent="0.3"/>
  <cols>
    <col min="1" max="1" width="38" customWidth="1"/>
    <col min="2" max="2" width="11.33203125" customWidth="1"/>
    <col min="3" max="3" width="6.88671875" customWidth="1"/>
    <col min="4" max="4" width="8.6640625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32</v>
      </c>
      <c r="B2">
        <v>2100</v>
      </c>
      <c r="C2">
        <v>2020</v>
      </c>
      <c r="D2">
        <v>1741707</v>
      </c>
      <c r="E2" t="s">
        <v>33</v>
      </c>
    </row>
    <row r="3" spans="1:5" x14ac:dyDescent="0.3">
      <c r="A3" s="1" t="s">
        <v>32</v>
      </c>
      <c r="B3">
        <v>2100</v>
      </c>
      <c r="C3">
        <v>2021</v>
      </c>
      <c r="D3">
        <v>1881930</v>
      </c>
      <c r="E3" t="s">
        <v>33</v>
      </c>
    </row>
    <row r="4" spans="1:5" x14ac:dyDescent="0.3">
      <c r="A4" s="1" t="s">
        <v>32</v>
      </c>
      <c r="B4">
        <v>2100</v>
      </c>
      <c r="C4">
        <v>2022</v>
      </c>
      <c r="D4">
        <v>2019923</v>
      </c>
      <c r="E4" t="s">
        <v>33</v>
      </c>
    </row>
    <row r="5" spans="1:5" x14ac:dyDescent="0.3">
      <c r="A5" s="1" t="s">
        <v>32</v>
      </c>
      <c r="B5">
        <v>2100</v>
      </c>
      <c r="C5">
        <v>2023</v>
      </c>
      <c r="D5">
        <v>2863487</v>
      </c>
      <c r="E5" t="s">
        <v>33</v>
      </c>
    </row>
    <row r="6" spans="1:5" x14ac:dyDescent="0.3">
      <c r="A6" s="1" t="s">
        <v>32</v>
      </c>
      <c r="B6">
        <v>2100</v>
      </c>
      <c r="C6">
        <v>2024</v>
      </c>
      <c r="D6">
        <v>3243043</v>
      </c>
      <c r="E6" t="s">
        <v>33</v>
      </c>
    </row>
    <row r="7" spans="1:5" x14ac:dyDescent="0.3">
      <c r="A7" s="1" t="s">
        <v>32</v>
      </c>
      <c r="B7">
        <v>2100</v>
      </c>
      <c r="C7">
        <v>2025</v>
      </c>
      <c r="D7">
        <v>1550185</v>
      </c>
      <c r="E7" t="s">
        <v>33</v>
      </c>
    </row>
    <row r="8" spans="1:5" x14ac:dyDescent="0.3">
      <c r="A8" s="1" t="s">
        <v>34</v>
      </c>
      <c r="B8">
        <v>2110</v>
      </c>
      <c r="C8">
        <v>2020</v>
      </c>
      <c r="D8">
        <v>2536151</v>
      </c>
      <c r="E8" t="s">
        <v>33</v>
      </c>
    </row>
    <row r="9" spans="1:5" x14ac:dyDescent="0.3">
      <c r="A9" s="1" t="s">
        <v>34</v>
      </c>
      <c r="B9">
        <v>2110</v>
      </c>
      <c r="C9">
        <v>2021</v>
      </c>
      <c r="D9">
        <v>2532640</v>
      </c>
      <c r="E9" t="s">
        <v>33</v>
      </c>
    </row>
    <row r="10" spans="1:5" x14ac:dyDescent="0.3">
      <c r="A10" s="1" t="s">
        <v>34</v>
      </c>
      <c r="B10">
        <v>2110</v>
      </c>
      <c r="C10">
        <v>2022</v>
      </c>
      <c r="D10">
        <v>2541046</v>
      </c>
      <c r="E10" t="s">
        <v>33</v>
      </c>
    </row>
    <row r="11" spans="1:5" x14ac:dyDescent="0.3">
      <c r="A11" s="1" t="s">
        <v>34</v>
      </c>
      <c r="B11">
        <v>2110</v>
      </c>
      <c r="C11">
        <v>2023</v>
      </c>
      <c r="D11">
        <v>3123853</v>
      </c>
      <c r="E11" t="s">
        <v>33</v>
      </c>
    </row>
    <row r="12" spans="1:5" x14ac:dyDescent="0.3">
      <c r="A12" s="1" t="s">
        <v>34</v>
      </c>
      <c r="B12">
        <v>2110</v>
      </c>
      <c r="C12">
        <v>2024</v>
      </c>
      <c r="D12">
        <v>3520647</v>
      </c>
      <c r="E12" t="s">
        <v>33</v>
      </c>
    </row>
    <row r="13" spans="1:5" x14ac:dyDescent="0.3">
      <c r="A13" s="1" t="s">
        <v>34</v>
      </c>
      <c r="B13">
        <v>2110</v>
      </c>
      <c r="C13">
        <v>2025</v>
      </c>
      <c r="D13">
        <v>3589154</v>
      </c>
      <c r="E13" t="s">
        <v>33</v>
      </c>
    </row>
    <row r="14" spans="1:5" x14ac:dyDescent="0.3">
      <c r="A14" s="1" t="s">
        <v>35</v>
      </c>
      <c r="B14">
        <v>2120</v>
      </c>
      <c r="C14">
        <v>2020</v>
      </c>
      <c r="D14">
        <v>-794444</v>
      </c>
      <c r="E14" t="s">
        <v>33</v>
      </c>
    </row>
    <row r="15" spans="1:5" x14ac:dyDescent="0.3">
      <c r="A15" s="1" t="s">
        <v>35</v>
      </c>
      <c r="B15">
        <v>2120</v>
      </c>
      <c r="C15">
        <v>2021</v>
      </c>
      <c r="D15">
        <v>-650710</v>
      </c>
      <c r="E15" t="s">
        <v>33</v>
      </c>
    </row>
    <row r="16" spans="1:5" x14ac:dyDescent="0.3">
      <c r="A16" s="1" t="s">
        <v>35</v>
      </c>
      <c r="B16">
        <v>2120</v>
      </c>
      <c r="C16">
        <v>2022</v>
      </c>
      <c r="D16">
        <v>-521123</v>
      </c>
      <c r="E16" t="s">
        <v>33</v>
      </c>
    </row>
    <row r="17" spans="1:5" x14ac:dyDescent="0.3">
      <c r="A17" s="1" t="s">
        <v>35</v>
      </c>
      <c r="B17">
        <v>2120</v>
      </c>
      <c r="C17">
        <v>2023</v>
      </c>
      <c r="D17">
        <v>-260366</v>
      </c>
      <c r="E17" t="s">
        <v>33</v>
      </c>
    </row>
    <row r="18" spans="1:5" x14ac:dyDescent="0.3">
      <c r="A18" s="1" t="s">
        <v>35</v>
      </c>
      <c r="B18">
        <v>2120</v>
      </c>
      <c r="C18">
        <v>2024</v>
      </c>
      <c r="D18">
        <v>-277604</v>
      </c>
      <c r="E18" t="s">
        <v>33</v>
      </c>
    </row>
    <row r="19" spans="1:5" x14ac:dyDescent="0.3">
      <c r="A19" s="1" t="s">
        <v>35</v>
      </c>
      <c r="B19">
        <v>2120</v>
      </c>
      <c r="C19">
        <v>2025</v>
      </c>
      <c r="D19">
        <v>-2038969</v>
      </c>
      <c r="E19" t="s">
        <v>33</v>
      </c>
    </row>
    <row r="20" spans="1:5" x14ac:dyDescent="0.3">
      <c r="A20" s="1" t="s">
        <v>36</v>
      </c>
      <c r="B20">
        <v>2200</v>
      </c>
      <c r="C20">
        <v>2020</v>
      </c>
      <c r="D20">
        <v>1062847</v>
      </c>
      <c r="E20" t="s">
        <v>33</v>
      </c>
    </row>
    <row r="21" spans="1:5" x14ac:dyDescent="0.3">
      <c r="A21" s="1" t="s">
        <v>36</v>
      </c>
      <c r="B21">
        <v>2200</v>
      </c>
      <c r="C21">
        <v>2021</v>
      </c>
      <c r="D21">
        <v>977340</v>
      </c>
      <c r="E21" t="s">
        <v>33</v>
      </c>
    </row>
    <row r="22" spans="1:5" x14ac:dyDescent="0.3">
      <c r="A22" s="1" t="s">
        <v>36</v>
      </c>
      <c r="B22">
        <v>2200</v>
      </c>
      <c r="C22">
        <v>2022</v>
      </c>
      <c r="D22">
        <v>770995</v>
      </c>
      <c r="E22" t="s">
        <v>33</v>
      </c>
    </row>
    <row r="23" spans="1:5" x14ac:dyDescent="0.3">
      <c r="A23" s="1" t="s">
        <v>36</v>
      </c>
      <c r="B23">
        <v>2200</v>
      </c>
      <c r="C23">
        <v>2023</v>
      </c>
      <c r="D23">
        <v>736690</v>
      </c>
      <c r="E23" t="s">
        <v>33</v>
      </c>
    </row>
    <row r="24" spans="1:5" x14ac:dyDescent="0.3">
      <c r="A24" s="1" t="s">
        <v>36</v>
      </c>
      <c r="B24">
        <v>2200</v>
      </c>
      <c r="C24">
        <v>2024</v>
      </c>
      <c r="D24">
        <v>825793</v>
      </c>
      <c r="E24" t="s">
        <v>33</v>
      </c>
    </row>
    <row r="25" spans="1:5" x14ac:dyDescent="0.3">
      <c r="A25" s="1" t="s">
        <v>36</v>
      </c>
      <c r="B25">
        <v>2200</v>
      </c>
      <c r="C25">
        <v>2025</v>
      </c>
      <c r="D25">
        <v>591644</v>
      </c>
      <c r="E25" t="s">
        <v>33</v>
      </c>
    </row>
    <row r="26" spans="1:5" x14ac:dyDescent="0.3">
      <c r="A26" s="1" t="s">
        <v>37</v>
      </c>
      <c r="B26">
        <v>2210</v>
      </c>
      <c r="C26">
        <v>2020</v>
      </c>
      <c r="D26">
        <v>-124</v>
      </c>
      <c r="E26" t="s">
        <v>33</v>
      </c>
    </row>
    <row r="27" spans="1:5" x14ac:dyDescent="0.3">
      <c r="A27" s="1" t="s">
        <v>37</v>
      </c>
      <c r="B27">
        <v>2210</v>
      </c>
      <c r="C27">
        <v>2021</v>
      </c>
      <c r="D27">
        <v>-9</v>
      </c>
      <c r="E27" t="s">
        <v>33</v>
      </c>
    </row>
    <row r="28" spans="1:5" x14ac:dyDescent="0.3">
      <c r="A28" s="1" t="s">
        <v>37</v>
      </c>
      <c r="B28">
        <v>2210</v>
      </c>
      <c r="C28">
        <v>2022</v>
      </c>
      <c r="D28">
        <v>-5</v>
      </c>
      <c r="E28" t="s">
        <v>33</v>
      </c>
    </row>
    <row r="29" spans="1:5" x14ac:dyDescent="0.3">
      <c r="A29" s="1" t="s">
        <v>37</v>
      </c>
      <c r="B29">
        <v>2210</v>
      </c>
      <c r="C29">
        <v>2023</v>
      </c>
      <c r="D29">
        <v>-6</v>
      </c>
      <c r="E29" t="s">
        <v>33</v>
      </c>
    </row>
    <row r="30" spans="1:5" x14ac:dyDescent="0.3">
      <c r="A30" s="1" t="s">
        <v>37</v>
      </c>
      <c r="B30">
        <v>2210</v>
      </c>
      <c r="C30">
        <v>2024</v>
      </c>
      <c r="D30">
        <v>-3</v>
      </c>
      <c r="E30" t="s">
        <v>33</v>
      </c>
    </row>
    <row r="31" spans="1:5" x14ac:dyDescent="0.3">
      <c r="A31" s="1" t="s">
        <v>37</v>
      </c>
      <c r="B31">
        <v>2210</v>
      </c>
      <c r="C31">
        <v>2025</v>
      </c>
      <c r="D31">
        <v>-7</v>
      </c>
      <c r="E31" t="s">
        <v>33</v>
      </c>
    </row>
    <row r="32" spans="1:5" x14ac:dyDescent="0.3">
      <c r="A32" s="1" t="s">
        <v>38</v>
      </c>
      <c r="B32">
        <v>2220</v>
      </c>
      <c r="C32">
        <v>2020</v>
      </c>
      <c r="D32">
        <v>-678736</v>
      </c>
      <c r="E32" t="s">
        <v>33</v>
      </c>
    </row>
    <row r="33" spans="1:5" x14ac:dyDescent="0.3">
      <c r="A33" s="1" t="s">
        <v>38</v>
      </c>
      <c r="B33">
        <v>2220</v>
      </c>
      <c r="C33">
        <v>2021</v>
      </c>
      <c r="D33">
        <v>-904581</v>
      </c>
      <c r="E33" t="s">
        <v>33</v>
      </c>
    </row>
    <row r="34" spans="1:5" x14ac:dyDescent="0.3">
      <c r="A34" s="1" t="s">
        <v>38</v>
      </c>
      <c r="B34">
        <v>2220</v>
      </c>
      <c r="C34">
        <v>2022</v>
      </c>
      <c r="D34">
        <v>-1248923</v>
      </c>
      <c r="E34" t="s">
        <v>33</v>
      </c>
    </row>
    <row r="35" spans="1:5" x14ac:dyDescent="0.3">
      <c r="A35" s="1" t="s">
        <v>38</v>
      </c>
      <c r="B35">
        <v>2220</v>
      </c>
      <c r="C35">
        <v>2023</v>
      </c>
      <c r="D35">
        <v>-2126791</v>
      </c>
      <c r="E35" t="s">
        <v>33</v>
      </c>
    </row>
    <row r="36" spans="1:5" x14ac:dyDescent="0.3">
      <c r="A36" s="1" t="s">
        <v>38</v>
      </c>
      <c r="B36">
        <v>2220</v>
      </c>
      <c r="C36">
        <v>2024</v>
      </c>
      <c r="D36">
        <v>-2417247</v>
      </c>
      <c r="E36" t="s">
        <v>33</v>
      </c>
    </row>
    <row r="37" spans="1:5" x14ac:dyDescent="0.3">
      <c r="A37" s="1" t="s">
        <v>38</v>
      </c>
      <c r="B37">
        <v>2220</v>
      </c>
      <c r="C37">
        <v>2025</v>
      </c>
      <c r="D37">
        <v>-958534</v>
      </c>
      <c r="E37" t="s">
        <v>33</v>
      </c>
    </row>
    <row r="38" spans="1:5" x14ac:dyDescent="0.3">
      <c r="A38" s="1" t="s">
        <v>39</v>
      </c>
      <c r="B38">
        <v>2300</v>
      </c>
      <c r="C38">
        <v>2020</v>
      </c>
      <c r="D38">
        <v>1271085</v>
      </c>
      <c r="E38" t="s">
        <v>33</v>
      </c>
    </row>
    <row r="39" spans="1:5" x14ac:dyDescent="0.3">
      <c r="A39" s="1" t="s">
        <v>39</v>
      </c>
      <c r="B39">
        <v>2300</v>
      </c>
      <c r="C39">
        <v>2021</v>
      </c>
      <c r="D39">
        <v>1083067</v>
      </c>
      <c r="E39" t="s">
        <v>33</v>
      </c>
    </row>
    <row r="40" spans="1:5" x14ac:dyDescent="0.3">
      <c r="A40" s="1" t="s">
        <v>39</v>
      </c>
      <c r="B40">
        <v>2300</v>
      </c>
      <c r="C40">
        <v>2022</v>
      </c>
      <c r="D40">
        <v>126902</v>
      </c>
      <c r="E40" t="s">
        <v>33</v>
      </c>
    </row>
    <row r="41" spans="1:5" x14ac:dyDescent="0.3">
      <c r="A41" s="1" t="s">
        <v>39</v>
      </c>
      <c r="B41">
        <v>2300</v>
      </c>
      <c r="C41">
        <v>2023</v>
      </c>
      <c r="D41">
        <v>938020</v>
      </c>
      <c r="E41" t="s">
        <v>33</v>
      </c>
    </row>
    <row r="42" spans="1:5" x14ac:dyDescent="0.3">
      <c r="A42" s="1" t="s">
        <v>39</v>
      </c>
      <c r="B42">
        <v>2300</v>
      </c>
      <c r="C42">
        <v>2024</v>
      </c>
      <c r="D42">
        <v>9618</v>
      </c>
      <c r="E42" t="s">
        <v>33</v>
      </c>
    </row>
    <row r="43" spans="1:5" x14ac:dyDescent="0.3">
      <c r="A43" s="1" t="s">
        <v>39</v>
      </c>
      <c r="B43">
        <v>2300</v>
      </c>
      <c r="C43">
        <v>2025</v>
      </c>
      <c r="D43">
        <v>247040</v>
      </c>
      <c r="E43" t="s">
        <v>33</v>
      </c>
    </row>
    <row r="44" spans="1:5" x14ac:dyDescent="0.3">
      <c r="A44" s="1" t="s">
        <v>40</v>
      </c>
      <c r="B44">
        <v>2310</v>
      </c>
      <c r="C44">
        <v>2020</v>
      </c>
      <c r="D44">
        <v>0</v>
      </c>
      <c r="E44" t="s">
        <v>33</v>
      </c>
    </row>
    <row r="45" spans="1:5" x14ac:dyDescent="0.3">
      <c r="A45" s="1" t="s">
        <v>40</v>
      </c>
      <c r="B45">
        <v>2310</v>
      </c>
      <c r="C45">
        <v>2021</v>
      </c>
      <c r="D45">
        <v>107632</v>
      </c>
      <c r="E45" t="s">
        <v>33</v>
      </c>
    </row>
    <row r="46" spans="1:5" x14ac:dyDescent="0.3">
      <c r="A46" s="1" t="s">
        <v>40</v>
      </c>
      <c r="B46">
        <v>2310</v>
      </c>
      <c r="C46">
        <v>2022</v>
      </c>
      <c r="D46">
        <v>33</v>
      </c>
      <c r="E46" t="s">
        <v>33</v>
      </c>
    </row>
    <row r="47" spans="1:5" x14ac:dyDescent="0.3">
      <c r="A47" s="1" t="s">
        <v>40</v>
      </c>
      <c r="B47">
        <v>2310</v>
      </c>
      <c r="C47">
        <v>2023</v>
      </c>
      <c r="D47">
        <v>9006</v>
      </c>
      <c r="E47" t="s">
        <v>33</v>
      </c>
    </row>
    <row r="48" spans="1:5" x14ac:dyDescent="0.3">
      <c r="A48" s="1" t="s">
        <v>40</v>
      </c>
      <c r="B48">
        <v>2310</v>
      </c>
      <c r="C48">
        <v>2024</v>
      </c>
      <c r="D48">
        <v>0</v>
      </c>
      <c r="E48" t="s">
        <v>33</v>
      </c>
    </row>
    <row r="49" spans="1:5" x14ac:dyDescent="0.3">
      <c r="A49" s="1" t="s">
        <v>40</v>
      </c>
      <c r="B49">
        <v>2310</v>
      </c>
      <c r="C49">
        <v>2025</v>
      </c>
      <c r="D49">
        <v>25513</v>
      </c>
      <c r="E49" t="s">
        <v>33</v>
      </c>
    </row>
    <row r="50" spans="1:5" x14ac:dyDescent="0.3">
      <c r="A50" s="1" t="s">
        <v>41</v>
      </c>
      <c r="B50">
        <v>2320</v>
      </c>
      <c r="C50">
        <v>2020</v>
      </c>
      <c r="D50">
        <v>8669</v>
      </c>
      <c r="E50" t="s">
        <v>33</v>
      </c>
    </row>
    <row r="51" spans="1:5" x14ac:dyDescent="0.3">
      <c r="A51" s="1" t="s">
        <v>41</v>
      </c>
      <c r="B51">
        <v>2320</v>
      </c>
      <c r="C51">
        <v>2021</v>
      </c>
      <c r="D51">
        <v>4869</v>
      </c>
      <c r="E51" t="s">
        <v>33</v>
      </c>
    </row>
    <row r="52" spans="1:5" x14ac:dyDescent="0.3">
      <c r="A52" s="1" t="s">
        <v>41</v>
      </c>
      <c r="B52">
        <v>2320</v>
      </c>
      <c r="C52">
        <v>2022</v>
      </c>
      <c r="D52">
        <v>4653</v>
      </c>
      <c r="E52" t="s">
        <v>33</v>
      </c>
    </row>
    <row r="53" spans="1:5" x14ac:dyDescent="0.3">
      <c r="A53" s="1" t="s">
        <v>41</v>
      </c>
      <c r="B53">
        <v>2320</v>
      </c>
      <c r="C53">
        <v>2023</v>
      </c>
      <c r="D53">
        <v>9742</v>
      </c>
      <c r="E53" t="s">
        <v>33</v>
      </c>
    </row>
    <row r="54" spans="1:5" x14ac:dyDescent="0.3">
      <c r="A54" s="1" t="s">
        <v>41</v>
      </c>
      <c r="B54">
        <v>2320</v>
      </c>
      <c r="C54">
        <v>2024</v>
      </c>
      <c r="D54">
        <v>7359</v>
      </c>
      <c r="E54" t="s">
        <v>33</v>
      </c>
    </row>
    <row r="55" spans="1:5" x14ac:dyDescent="0.3">
      <c r="A55" s="1" t="s">
        <v>41</v>
      </c>
      <c r="B55">
        <v>2320</v>
      </c>
      <c r="C55">
        <v>2025</v>
      </c>
      <c r="D55">
        <v>18760</v>
      </c>
      <c r="E55" t="s">
        <v>33</v>
      </c>
    </row>
    <row r="56" spans="1:5" x14ac:dyDescent="0.3">
      <c r="A56" s="1" t="s">
        <v>42</v>
      </c>
      <c r="B56">
        <v>2330</v>
      </c>
      <c r="C56">
        <v>2020</v>
      </c>
      <c r="D56">
        <v>0</v>
      </c>
      <c r="E56" t="s">
        <v>33</v>
      </c>
    </row>
    <row r="57" spans="1:5" x14ac:dyDescent="0.3">
      <c r="A57" s="1" t="s">
        <v>42</v>
      </c>
      <c r="B57">
        <v>2330</v>
      </c>
      <c r="C57">
        <v>2021</v>
      </c>
      <c r="D57">
        <v>0</v>
      </c>
      <c r="E57" t="s">
        <v>33</v>
      </c>
    </row>
    <row r="58" spans="1:5" x14ac:dyDescent="0.3">
      <c r="A58" s="1" t="s">
        <v>42</v>
      </c>
      <c r="B58">
        <v>2330</v>
      </c>
      <c r="C58">
        <v>2022</v>
      </c>
      <c r="D58">
        <v>-3901</v>
      </c>
      <c r="E58" t="s">
        <v>33</v>
      </c>
    </row>
    <row r="59" spans="1:5" x14ac:dyDescent="0.3">
      <c r="A59" s="1" t="s">
        <v>42</v>
      </c>
      <c r="B59">
        <v>2330</v>
      </c>
      <c r="C59">
        <v>2023</v>
      </c>
      <c r="D59">
        <v>-1776</v>
      </c>
      <c r="E59" t="s">
        <v>33</v>
      </c>
    </row>
    <row r="60" spans="1:5" x14ac:dyDescent="0.3">
      <c r="A60" s="1" t="s">
        <v>42</v>
      </c>
      <c r="B60">
        <v>2330</v>
      </c>
      <c r="C60">
        <v>2024</v>
      </c>
      <c r="D60">
        <v>-5220</v>
      </c>
      <c r="E60" t="s">
        <v>33</v>
      </c>
    </row>
    <row r="61" spans="1:5" x14ac:dyDescent="0.3">
      <c r="A61" s="1" t="s">
        <v>42</v>
      </c>
      <c r="B61">
        <v>2330</v>
      </c>
      <c r="C61">
        <v>2025</v>
      </c>
      <c r="D61">
        <v>-6229</v>
      </c>
      <c r="E61" t="s">
        <v>33</v>
      </c>
    </row>
    <row r="62" spans="1:5" x14ac:dyDescent="0.3">
      <c r="A62" s="1" t="s">
        <v>43</v>
      </c>
      <c r="B62">
        <v>2340</v>
      </c>
      <c r="C62">
        <v>2020</v>
      </c>
      <c r="D62">
        <v>715130</v>
      </c>
      <c r="E62" t="s">
        <v>33</v>
      </c>
    </row>
    <row r="63" spans="1:5" x14ac:dyDescent="0.3">
      <c r="A63" s="1" t="s">
        <v>43</v>
      </c>
      <c r="B63">
        <v>2340</v>
      </c>
      <c r="C63">
        <v>2021</v>
      </c>
      <c r="D63">
        <v>474928</v>
      </c>
      <c r="E63" t="s">
        <v>33</v>
      </c>
    </row>
    <row r="64" spans="1:5" x14ac:dyDescent="0.3">
      <c r="A64" s="1" t="s">
        <v>43</v>
      </c>
      <c r="B64">
        <v>2340</v>
      </c>
      <c r="C64">
        <v>2022</v>
      </c>
      <c r="D64">
        <v>2414479</v>
      </c>
      <c r="E64" t="s">
        <v>33</v>
      </c>
    </row>
    <row r="65" spans="1:5" x14ac:dyDescent="0.3">
      <c r="A65" s="1" t="s">
        <v>43</v>
      </c>
      <c r="B65">
        <v>2340</v>
      </c>
      <c r="C65">
        <v>2023</v>
      </c>
      <c r="D65">
        <v>1779710</v>
      </c>
      <c r="E65" t="s">
        <v>33</v>
      </c>
    </row>
    <row r="66" spans="1:5" x14ac:dyDescent="0.3">
      <c r="A66" s="1" t="s">
        <v>43</v>
      </c>
      <c r="B66">
        <v>2340</v>
      </c>
      <c r="C66">
        <v>2024</v>
      </c>
      <c r="D66">
        <v>2653168</v>
      </c>
      <c r="E66" t="s">
        <v>33</v>
      </c>
    </row>
    <row r="67" spans="1:5" x14ac:dyDescent="0.3">
      <c r="A67" s="1" t="s">
        <v>43</v>
      </c>
      <c r="B67">
        <v>2340</v>
      </c>
      <c r="C67">
        <v>2025</v>
      </c>
      <c r="D67">
        <v>9156</v>
      </c>
      <c r="E67" t="s">
        <v>33</v>
      </c>
    </row>
    <row r="68" spans="1:5" x14ac:dyDescent="0.3">
      <c r="A68" s="1" t="s">
        <v>44</v>
      </c>
      <c r="B68">
        <v>2350</v>
      </c>
      <c r="C68">
        <v>2020</v>
      </c>
      <c r="D68">
        <v>-515561</v>
      </c>
      <c r="E68" t="s">
        <v>33</v>
      </c>
    </row>
    <row r="69" spans="1:5" x14ac:dyDescent="0.3">
      <c r="A69" s="1" t="s">
        <v>44</v>
      </c>
      <c r="B69">
        <v>2350</v>
      </c>
      <c r="C69">
        <v>2021</v>
      </c>
      <c r="D69">
        <v>-481702</v>
      </c>
      <c r="E69" t="s">
        <v>33</v>
      </c>
    </row>
    <row r="70" spans="1:5" x14ac:dyDescent="0.3">
      <c r="A70" s="1" t="s">
        <v>44</v>
      </c>
      <c r="B70">
        <v>2350</v>
      </c>
      <c r="C70">
        <v>2022</v>
      </c>
      <c r="D70">
        <v>-3059357</v>
      </c>
      <c r="E70" t="s">
        <v>33</v>
      </c>
    </row>
    <row r="71" spans="1:5" x14ac:dyDescent="0.3">
      <c r="A71" s="1" t="s">
        <v>44</v>
      </c>
      <c r="B71">
        <v>2350</v>
      </c>
      <c r="C71">
        <v>2023</v>
      </c>
      <c r="D71">
        <v>-1595352</v>
      </c>
      <c r="E71" t="s">
        <v>33</v>
      </c>
    </row>
    <row r="72" spans="1:5" x14ac:dyDescent="0.3">
      <c r="A72" s="1" t="s">
        <v>44</v>
      </c>
      <c r="B72">
        <v>2350</v>
      </c>
      <c r="C72">
        <v>2024</v>
      </c>
      <c r="D72">
        <v>-3471482</v>
      </c>
      <c r="E72" t="s">
        <v>33</v>
      </c>
    </row>
    <row r="73" spans="1:5" x14ac:dyDescent="0.3">
      <c r="A73" s="1" t="s">
        <v>44</v>
      </c>
      <c r="B73">
        <v>2350</v>
      </c>
      <c r="C73">
        <v>2025</v>
      </c>
      <c r="D73">
        <v>-391804</v>
      </c>
      <c r="E73" t="s">
        <v>33</v>
      </c>
    </row>
    <row r="74" spans="1:5" x14ac:dyDescent="0.3">
      <c r="A74" s="1" t="s">
        <v>45</v>
      </c>
      <c r="B74">
        <v>2400</v>
      </c>
      <c r="C74">
        <v>2020</v>
      </c>
      <c r="D74">
        <v>1031538</v>
      </c>
      <c r="E74" t="s">
        <v>33</v>
      </c>
    </row>
    <row r="75" spans="1:5" x14ac:dyDescent="0.3">
      <c r="A75" s="1" t="s">
        <v>45</v>
      </c>
      <c r="B75">
        <v>2400</v>
      </c>
      <c r="C75">
        <v>2021</v>
      </c>
      <c r="D75">
        <v>1033647</v>
      </c>
      <c r="E75" t="s">
        <v>33</v>
      </c>
    </row>
    <row r="76" spans="1:5" x14ac:dyDescent="0.3">
      <c r="A76" s="1" t="s">
        <v>45</v>
      </c>
      <c r="B76">
        <v>2400</v>
      </c>
      <c r="C76">
        <v>2022</v>
      </c>
      <c r="D76">
        <v>-427987</v>
      </c>
      <c r="E76" t="s">
        <v>33</v>
      </c>
    </row>
    <row r="77" spans="1:5" x14ac:dyDescent="0.3">
      <c r="A77" s="1" t="s">
        <v>45</v>
      </c>
      <c r="B77">
        <v>2400</v>
      </c>
      <c r="C77">
        <v>2023</v>
      </c>
      <c r="D77">
        <v>762196</v>
      </c>
      <c r="E77" t="s">
        <v>33</v>
      </c>
    </row>
    <row r="78" spans="1:5" x14ac:dyDescent="0.3">
      <c r="A78" s="1" t="s">
        <v>45</v>
      </c>
      <c r="B78">
        <v>2400</v>
      </c>
      <c r="C78">
        <v>2024</v>
      </c>
      <c r="D78">
        <v>-155403</v>
      </c>
      <c r="E78" t="s">
        <v>33</v>
      </c>
    </row>
    <row r="79" spans="1:5" x14ac:dyDescent="0.3">
      <c r="A79" s="1" t="s">
        <v>45</v>
      </c>
      <c r="B79">
        <v>2400</v>
      </c>
      <c r="C79">
        <v>2025</v>
      </c>
      <c r="D79">
        <v>-375492</v>
      </c>
      <c r="E79" t="s">
        <v>33</v>
      </c>
    </row>
    <row r="80" spans="1:5" x14ac:dyDescent="0.3">
      <c r="A80" s="1" t="s">
        <v>46</v>
      </c>
      <c r="B80">
        <v>2410</v>
      </c>
      <c r="C80">
        <v>2020</v>
      </c>
      <c r="D80">
        <v>-239547</v>
      </c>
      <c r="E80" t="s">
        <v>33</v>
      </c>
    </row>
    <row r="81" spans="1:5" x14ac:dyDescent="0.3">
      <c r="A81" s="1" t="s">
        <v>46</v>
      </c>
      <c r="B81">
        <v>2410</v>
      </c>
      <c r="C81">
        <v>2021</v>
      </c>
      <c r="D81">
        <v>-38959</v>
      </c>
      <c r="E81" t="s">
        <v>33</v>
      </c>
    </row>
    <row r="82" spans="1:5" x14ac:dyDescent="0.3">
      <c r="A82" s="1" t="s">
        <v>46</v>
      </c>
      <c r="B82">
        <v>2410</v>
      </c>
      <c r="C82">
        <v>2022</v>
      </c>
      <c r="D82">
        <v>-2163</v>
      </c>
      <c r="E82" t="s">
        <v>33</v>
      </c>
    </row>
    <row r="83" spans="1:5" x14ac:dyDescent="0.3">
      <c r="A83" s="1" t="s">
        <v>46</v>
      </c>
      <c r="B83">
        <v>2410</v>
      </c>
      <c r="C83">
        <v>2023</v>
      </c>
      <c r="D83">
        <v>-175824</v>
      </c>
      <c r="E83" t="s">
        <v>33</v>
      </c>
    </row>
    <row r="84" spans="1:5" x14ac:dyDescent="0.3">
      <c r="A84" s="1" t="s">
        <v>46</v>
      </c>
      <c r="B84">
        <v>2410</v>
      </c>
      <c r="C84">
        <v>2024</v>
      </c>
      <c r="D84">
        <v>-169191</v>
      </c>
      <c r="E84" t="s">
        <v>33</v>
      </c>
    </row>
    <row r="85" spans="1:5" x14ac:dyDescent="0.3">
      <c r="A85" s="1" t="s">
        <v>46</v>
      </c>
      <c r="B85">
        <v>2410</v>
      </c>
      <c r="C85">
        <v>2025</v>
      </c>
      <c r="D85">
        <v>-158121</v>
      </c>
      <c r="E85" t="s">
        <v>33</v>
      </c>
    </row>
    <row r="86" spans="1:5" x14ac:dyDescent="0.3">
      <c r="A86" s="1" t="s">
        <v>47</v>
      </c>
      <c r="B86">
        <v>2411</v>
      </c>
      <c r="C86">
        <v>2020</v>
      </c>
      <c r="D86">
        <v>-245110</v>
      </c>
      <c r="E86" t="s">
        <v>33</v>
      </c>
    </row>
    <row r="87" spans="1:5" x14ac:dyDescent="0.3">
      <c r="A87" s="1" t="s">
        <v>47</v>
      </c>
      <c r="B87">
        <v>2411</v>
      </c>
      <c r="C87">
        <v>2021</v>
      </c>
      <c r="D87">
        <v>-29945</v>
      </c>
      <c r="E87" t="s">
        <v>33</v>
      </c>
    </row>
    <row r="88" spans="1:5" x14ac:dyDescent="0.3">
      <c r="A88" s="1" t="s">
        <v>47</v>
      </c>
      <c r="B88">
        <v>2411</v>
      </c>
      <c r="C88">
        <v>2022</v>
      </c>
      <c r="D88">
        <v>0</v>
      </c>
      <c r="E88" t="s">
        <v>33</v>
      </c>
    </row>
    <row r="89" spans="1:5" x14ac:dyDescent="0.3">
      <c r="A89" s="1" t="s">
        <v>47</v>
      </c>
      <c r="B89">
        <v>2411</v>
      </c>
      <c r="C89">
        <v>2023</v>
      </c>
      <c r="D89">
        <v>-179606</v>
      </c>
      <c r="E89" t="s">
        <v>33</v>
      </c>
    </row>
    <row r="90" spans="1:5" x14ac:dyDescent="0.3">
      <c r="A90" s="1" t="s">
        <v>47</v>
      </c>
      <c r="B90">
        <v>2411</v>
      </c>
      <c r="C90">
        <v>2024</v>
      </c>
      <c r="D90">
        <v>-182255</v>
      </c>
      <c r="E90" t="s">
        <v>33</v>
      </c>
    </row>
    <row r="91" spans="1:5" x14ac:dyDescent="0.3">
      <c r="A91" s="1" t="s">
        <v>47</v>
      </c>
      <c r="B91">
        <v>2411</v>
      </c>
      <c r="C91">
        <v>2025</v>
      </c>
      <c r="D91">
        <v>-160411</v>
      </c>
      <c r="E91" t="s">
        <v>33</v>
      </c>
    </row>
    <row r="92" spans="1:5" x14ac:dyDescent="0.3">
      <c r="A92" s="1" t="s">
        <v>48</v>
      </c>
      <c r="B92">
        <v>2412</v>
      </c>
      <c r="C92">
        <v>2020</v>
      </c>
      <c r="D92">
        <v>5563</v>
      </c>
      <c r="E92" t="s">
        <v>33</v>
      </c>
    </row>
    <row r="93" spans="1:5" x14ac:dyDescent="0.3">
      <c r="A93" s="1" t="s">
        <v>48</v>
      </c>
      <c r="B93">
        <v>2412</v>
      </c>
      <c r="C93">
        <v>2021</v>
      </c>
      <c r="D93">
        <v>-5294</v>
      </c>
      <c r="E93" t="s">
        <v>33</v>
      </c>
    </row>
    <row r="94" spans="1:5" x14ac:dyDescent="0.3">
      <c r="A94" s="1" t="s">
        <v>48</v>
      </c>
      <c r="B94">
        <v>2412</v>
      </c>
      <c r="C94">
        <v>2022</v>
      </c>
      <c r="D94">
        <v>-2163</v>
      </c>
      <c r="E94" t="s">
        <v>33</v>
      </c>
    </row>
    <row r="95" spans="1:5" x14ac:dyDescent="0.3">
      <c r="A95" s="1" t="s">
        <v>48</v>
      </c>
      <c r="B95">
        <v>2412</v>
      </c>
      <c r="C95">
        <v>2023</v>
      </c>
      <c r="D95">
        <v>3782</v>
      </c>
      <c r="E95" t="s">
        <v>33</v>
      </c>
    </row>
    <row r="96" spans="1:5" x14ac:dyDescent="0.3">
      <c r="A96" s="1" t="s">
        <v>48</v>
      </c>
      <c r="B96">
        <v>2412</v>
      </c>
      <c r="C96">
        <v>2024</v>
      </c>
      <c r="D96">
        <v>13064</v>
      </c>
      <c r="E96" t="s">
        <v>33</v>
      </c>
    </row>
    <row r="97" spans="1:5" x14ac:dyDescent="0.3">
      <c r="A97" s="1" t="s">
        <v>48</v>
      </c>
      <c r="B97">
        <v>2412</v>
      </c>
      <c r="C97">
        <v>2025</v>
      </c>
      <c r="D97">
        <v>2290</v>
      </c>
      <c r="E97" t="s">
        <v>33</v>
      </c>
    </row>
    <row r="98" spans="1:5" x14ac:dyDescent="0.3">
      <c r="A98" s="1" t="s">
        <v>49</v>
      </c>
      <c r="B98">
        <v>2460</v>
      </c>
      <c r="C98">
        <v>2020</v>
      </c>
      <c r="D98">
        <v>0</v>
      </c>
      <c r="E98" t="s">
        <v>33</v>
      </c>
    </row>
    <row r="99" spans="1:5" x14ac:dyDescent="0.3">
      <c r="A99" s="1" t="s">
        <v>49</v>
      </c>
      <c r="B99">
        <v>2460</v>
      </c>
      <c r="C99">
        <v>2021</v>
      </c>
      <c r="D99">
        <v>-10461</v>
      </c>
      <c r="E99" t="s">
        <v>33</v>
      </c>
    </row>
    <row r="100" spans="1:5" x14ac:dyDescent="0.3">
      <c r="A100" s="1" t="s">
        <v>49</v>
      </c>
      <c r="B100">
        <v>2460</v>
      </c>
      <c r="C100">
        <v>2022</v>
      </c>
      <c r="D100">
        <v>-552726</v>
      </c>
      <c r="E100" t="s">
        <v>33</v>
      </c>
    </row>
    <row r="101" spans="1:5" x14ac:dyDescent="0.3">
      <c r="A101" s="1" t="s">
        <v>49</v>
      </c>
      <c r="B101">
        <v>2460</v>
      </c>
      <c r="C101">
        <v>2023</v>
      </c>
      <c r="D101">
        <v>0</v>
      </c>
      <c r="E101" t="s">
        <v>33</v>
      </c>
    </row>
    <row r="102" spans="1:5" x14ac:dyDescent="0.3">
      <c r="A102" s="1" t="s">
        <v>49</v>
      </c>
      <c r="B102">
        <v>2460</v>
      </c>
      <c r="C102">
        <v>2024</v>
      </c>
      <c r="D102">
        <v>4170</v>
      </c>
      <c r="E102" t="s">
        <v>33</v>
      </c>
    </row>
    <row r="103" spans="1:5" x14ac:dyDescent="0.3">
      <c r="A103" s="1" t="s">
        <v>49</v>
      </c>
      <c r="B103">
        <v>2460</v>
      </c>
      <c r="C103">
        <v>2025</v>
      </c>
      <c r="D103">
        <v>-464411</v>
      </c>
      <c r="E103" t="s">
        <v>33</v>
      </c>
    </row>
    <row r="104" spans="1:5" x14ac:dyDescent="0.3">
      <c r="A104" s="1" t="s">
        <v>50</v>
      </c>
      <c r="B104">
        <v>2500</v>
      </c>
      <c r="C104">
        <v>2020</v>
      </c>
      <c r="D104">
        <v>1031538</v>
      </c>
      <c r="E104" t="s">
        <v>33</v>
      </c>
    </row>
    <row r="105" spans="1:5" x14ac:dyDescent="0.3">
      <c r="A105" s="1" t="s">
        <v>50</v>
      </c>
      <c r="B105">
        <v>2500</v>
      </c>
      <c r="C105">
        <v>2021</v>
      </c>
      <c r="D105">
        <v>1033647</v>
      </c>
      <c r="E105" t="s">
        <v>33</v>
      </c>
    </row>
    <row r="106" spans="1:5" x14ac:dyDescent="0.3">
      <c r="A106" s="1" t="s">
        <v>50</v>
      </c>
      <c r="B106">
        <v>2500</v>
      </c>
      <c r="C106">
        <v>2022</v>
      </c>
      <c r="D106">
        <v>-427987</v>
      </c>
      <c r="E106" t="s">
        <v>33</v>
      </c>
    </row>
    <row r="107" spans="1:5" x14ac:dyDescent="0.3">
      <c r="A107" s="1" t="s">
        <v>50</v>
      </c>
      <c r="B107">
        <v>2500</v>
      </c>
      <c r="C107">
        <v>2023</v>
      </c>
      <c r="D107">
        <v>762196</v>
      </c>
      <c r="E107" t="s">
        <v>33</v>
      </c>
    </row>
    <row r="108" spans="1:5" x14ac:dyDescent="0.3">
      <c r="A108" s="1" t="s">
        <v>50</v>
      </c>
      <c r="B108">
        <v>2500</v>
      </c>
      <c r="C108">
        <v>2024</v>
      </c>
      <c r="D108">
        <v>-155403</v>
      </c>
      <c r="E108" t="s">
        <v>33</v>
      </c>
    </row>
    <row r="109" spans="1:5" x14ac:dyDescent="0.3">
      <c r="A109" s="1" t="s">
        <v>50</v>
      </c>
      <c r="B109">
        <v>2500</v>
      </c>
      <c r="C109">
        <v>2025</v>
      </c>
      <c r="D109">
        <v>-375492</v>
      </c>
      <c r="E109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5"/>
  <sheetViews>
    <sheetView workbookViewId="0"/>
  </sheetViews>
  <sheetFormatPr defaultRowHeight="14.4" x14ac:dyDescent="0.3"/>
  <cols>
    <col min="1" max="1" width="59.88671875" customWidth="1"/>
    <col min="2" max="2" width="11.33203125" customWidth="1"/>
    <col min="3" max="3" width="6.88671875" customWidth="1"/>
    <col min="4" max="4" width="8" customWidth="1"/>
    <col min="5" max="5" width="1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7</v>
      </c>
      <c r="B2">
        <v>1110</v>
      </c>
      <c r="C2">
        <v>2023</v>
      </c>
      <c r="D2">
        <v>26715</v>
      </c>
      <c r="E2" s="1" t="s">
        <v>6</v>
      </c>
    </row>
    <row r="3" spans="1:5" x14ac:dyDescent="0.3">
      <c r="A3" s="1" t="s">
        <v>7</v>
      </c>
      <c r="B3">
        <v>1110</v>
      </c>
      <c r="C3">
        <v>2024</v>
      </c>
      <c r="D3">
        <v>23544</v>
      </c>
      <c r="E3" s="1" t="s">
        <v>6</v>
      </c>
    </row>
    <row r="4" spans="1:5" x14ac:dyDescent="0.3">
      <c r="A4" s="1" t="s">
        <v>7</v>
      </c>
      <c r="B4">
        <v>1110</v>
      </c>
      <c r="C4">
        <v>2025</v>
      </c>
      <c r="D4">
        <v>25012</v>
      </c>
      <c r="E4" s="1" t="s">
        <v>6</v>
      </c>
    </row>
    <row r="5" spans="1:5" x14ac:dyDescent="0.3">
      <c r="A5" s="1" t="s">
        <v>8</v>
      </c>
      <c r="B5">
        <v>1150</v>
      </c>
      <c r="C5">
        <v>2023</v>
      </c>
      <c r="D5">
        <v>96149</v>
      </c>
      <c r="E5" s="1" t="s">
        <v>6</v>
      </c>
    </row>
    <row r="6" spans="1:5" x14ac:dyDescent="0.3">
      <c r="A6" s="1" t="s">
        <v>8</v>
      </c>
      <c r="B6">
        <v>1150</v>
      </c>
      <c r="C6">
        <v>2024</v>
      </c>
      <c r="D6">
        <v>201725</v>
      </c>
      <c r="E6" s="1" t="s">
        <v>6</v>
      </c>
    </row>
    <row r="7" spans="1:5" x14ac:dyDescent="0.3">
      <c r="A7" s="1" t="s">
        <v>8</v>
      </c>
      <c r="B7">
        <v>1150</v>
      </c>
      <c r="C7">
        <v>2025</v>
      </c>
      <c r="D7">
        <v>429022</v>
      </c>
      <c r="E7" s="1" t="s">
        <v>6</v>
      </c>
    </row>
    <row r="8" spans="1:5" x14ac:dyDescent="0.3">
      <c r="A8" s="1" t="s">
        <v>51</v>
      </c>
      <c r="B8">
        <v>1160</v>
      </c>
      <c r="C8">
        <v>2023</v>
      </c>
      <c r="D8">
        <v>0</v>
      </c>
      <c r="E8" s="1" t="s">
        <v>6</v>
      </c>
    </row>
    <row r="9" spans="1:5" x14ac:dyDescent="0.3">
      <c r="A9" s="1" t="s">
        <v>51</v>
      </c>
      <c r="B9">
        <v>1160</v>
      </c>
      <c r="C9">
        <v>2024</v>
      </c>
      <c r="D9">
        <v>0</v>
      </c>
      <c r="E9" s="1" t="s">
        <v>6</v>
      </c>
    </row>
    <row r="10" spans="1:5" x14ac:dyDescent="0.3">
      <c r="A10" s="1" t="s">
        <v>51</v>
      </c>
      <c r="B10">
        <v>1160</v>
      </c>
      <c r="C10">
        <v>2025</v>
      </c>
      <c r="D10">
        <v>0</v>
      </c>
      <c r="E10" s="1" t="s">
        <v>6</v>
      </c>
    </row>
    <row r="11" spans="1:5" x14ac:dyDescent="0.3">
      <c r="A11" s="1" t="s">
        <v>10</v>
      </c>
      <c r="B11">
        <v>1170</v>
      </c>
      <c r="C11">
        <v>2023</v>
      </c>
      <c r="D11">
        <v>613266</v>
      </c>
      <c r="E11" s="1" t="s">
        <v>6</v>
      </c>
    </row>
    <row r="12" spans="1:5" x14ac:dyDescent="0.3">
      <c r="A12" s="1" t="s">
        <v>10</v>
      </c>
      <c r="B12">
        <v>1170</v>
      </c>
      <c r="C12">
        <v>2024</v>
      </c>
      <c r="D12">
        <v>13313</v>
      </c>
      <c r="E12" s="1" t="s">
        <v>6</v>
      </c>
    </row>
    <row r="13" spans="1:5" x14ac:dyDescent="0.3">
      <c r="A13" s="1" t="s">
        <v>10</v>
      </c>
      <c r="B13">
        <v>1170</v>
      </c>
      <c r="C13">
        <v>2025</v>
      </c>
      <c r="D13">
        <v>703120</v>
      </c>
      <c r="E13" s="1" t="s">
        <v>6</v>
      </c>
    </row>
    <row r="14" spans="1:5" x14ac:dyDescent="0.3">
      <c r="A14" s="1" t="s">
        <v>11</v>
      </c>
      <c r="B14">
        <v>1180</v>
      </c>
      <c r="C14">
        <v>2023</v>
      </c>
      <c r="D14">
        <v>7124</v>
      </c>
      <c r="E14" s="1" t="s">
        <v>6</v>
      </c>
    </row>
    <row r="15" spans="1:5" x14ac:dyDescent="0.3">
      <c r="A15" s="1" t="s">
        <v>11</v>
      </c>
      <c r="B15">
        <v>1180</v>
      </c>
      <c r="C15">
        <v>2024</v>
      </c>
      <c r="D15">
        <v>28364</v>
      </c>
      <c r="E15" s="1" t="s">
        <v>6</v>
      </c>
    </row>
    <row r="16" spans="1:5" x14ac:dyDescent="0.3">
      <c r="A16" s="1" t="s">
        <v>11</v>
      </c>
      <c r="B16">
        <v>1180</v>
      </c>
      <c r="C16">
        <v>2025</v>
      </c>
      <c r="D16">
        <v>52046</v>
      </c>
      <c r="E16" s="1" t="s">
        <v>6</v>
      </c>
    </row>
    <row r="17" spans="1:5" x14ac:dyDescent="0.3">
      <c r="A17" s="1" t="s">
        <v>5</v>
      </c>
      <c r="B17">
        <v>1100</v>
      </c>
      <c r="C17">
        <v>2023</v>
      </c>
      <c r="D17">
        <v>743254</v>
      </c>
      <c r="E17" s="1" t="s">
        <v>6</v>
      </c>
    </row>
    <row r="18" spans="1:5" x14ac:dyDescent="0.3">
      <c r="A18" s="1" t="s">
        <v>5</v>
      </c>
      <c r="B18">
        <v>1100</v>
      </c>
      <c r="C18">
        <v>2024</v>
      </c>
      <c r="D18">
        <v>266946</v>
      </c>
      <c r="E18" s="1" t="s">
        <v>6</v>
      </c>
    </row>
    <row r="19" spans="1:5" x14ac:dyDescent="0.3">
      <c r="A19" s="1" t="s">
        <v>5</v>
      </c>
      <c r="B19">
        <v>1100</v>
      </c>
      <c r="C19">
        <v>2025</v>
      </c>
      <c r="D19">
        <v>1209200</v>
      </c>
      <c r="E19" s="1" t="s">
        <v>6</v>
      </c>
    </row>
    <row r="20" spans="1:5" x14ac:dyDescent="0.3">
      <c r="A20" s="1" t="s">
        <v>13</v>
      </c>
      <c r="B20">
        <v>1210</v>
      </c>
      <c r="C20">
        <v>2023</v>
      </c>
      <c r="D20">
        <v>2238</v>
      </c>
      <c r="E20" s="1" t="s">
        <v>6</v>
      </c>
    </row>
    <row r="21" spans="1:5" x14ac:dyDescent="0.3">
      <c r="A21" s="1" t="s">
        <v>13</v>
      </c>
      <c r="B21">
        <v>1210</v>
      </c>
      <c r="C21">
        <v>2024</v>
      </c>
      <c r="D21">
        <v>2179</v>
      </c>
      <c r="E21" s="1" t="s">
        <v>6</v>
      </c>
    </row>
    <row r="22" spans="1:5" x14ac:dyDescent="0.3">
      <c r="A22" s="1" t="s">
        <v>13</v>
      </c>
      <c r="B22">
        <v>1210</v>
      </c>
      <c r="C22">
        <v>2025</v>
      </c>
      <c r="D22">
        <v>2615</v>
      </c>
      <c r="E22" s="1" t="s">
        <v>6</v>
      </c>
    </row>
    <row r="23" spans="1:5" x14ac:dyDescent="0.3">
      <c r="A23" s="1" t="s">
        <v>14</v>
      </c>
      <c r="B23">
        <v>1220</v>
      </c>
      <c r="C23">
        <v>2023</v>
      </c>
      <c r="D23">
        <v>0</v>
      </c>
      <c r="E23" s="1" t="s">
        <v>6</v>
      </c>
    </row>
    <row r="24" spans="1:5" x14ac:dyDescent="0.3">
      <c r="A24" s="1" t="s">
        <v>14</v>
      </c>
      <c r="B24">
        <v>1220</v>
      </c>
      <c r="C24">
        <v>2024</v>
      </c>
      <c r="D24">
        <v>239</v>
      </c>
      <c r="E24" s="1" t="s">
        <v>6</v>
      </c>
    </row>
    <row r="25" spans="1:5" x14ac:dyDescent="0.3">
      <c r="A25" s="1" t="s">
        <v>14</v>
      </c>
      <c r="B25">
        <v>1220</v>
      </c>
      <c r="C25">
        <v>2025</v>
      </c>
      <c r="D25">
        <v>435</v>
      </c>
      <c r="E25" s="1" t="s">
        <v>6</v>
      </c>
    </row>
    <row r="26" spans="1:5" x14ac:dyDescent="0.3">
      <c r="A26" s="1" t="s">
        <v>15</v>
      </c>
      <c r="B26">
        <v>1230</v>
      </c>
      <c r="C26">
        <v>2023</v>
      </c>
      <c r="D26">
        <v>2333028</v>
      </c>
      <c r="E26" s="1" t="s">
        <v>6</v>
      </c>
    </row>
    <row r="27" spans="1:5" x14ac:dyDescent="0.3">
      <c r="A27" s="1" t="s">
        <v>15</v>
      </c>
      <c r="B27">
        <v>1230</v>
      </c>
      <c r="C27">
        <v>2024</v>
      </c>
      <c r="D27">
        <v>3273651</v>
      </c>
      <c r="E27" s="1" t="s">
        <v>6</v>
      </c>
    </row>
    <row r="28" spans="1:5" x14ac:dyDescent="0.3">
      <c r="A28" s="1" t="s">
        <v>15</v>
      </c>
      <c r="B28">
        <v>1230</v>
      </c>
      <c r="C28">
        <v>2025</v>
      </c>
      <c r="D28">
        <v>4661132</v>
      </c>
      <c r="E28" s="1" t="s">
        <v>6</v>
      </c>
    </row>
    <row r="29" spans="1:5" x14ac:dyDescent="0.3">
      <c r="A29" s="1" t="s">
        <v>16</v>
      </c>
      <c r="B29">
        <v>1240</v>
      </c>
      <c r="C29">
        <v>2023</v>
      </c>
      <c r="D29">
        <v>862625</v>
      </c>
      <c r="E29" s="1" t="s">
        <v>6</v>
      </c>
    </row>
    <row r="30" spans="1:5" x14ac:dyDescent="0.3">
      <c r="A30" s="1" t="s">
        <v>16</v>
      </c>
      <c r="B30">
        <v>1240</v>
      </c>
      <c r="C30">
        <v>2024</v>
      </c>
      <c r="D30">
        <v>704624</v>
      </c>
      <c r="E30" s="1" t="s">
        <v>6</v>
      </c>
    </row>
    <row r="31" spans="1:5" x14ac:dyDescent="0.3">
      <c r="A31" s="1" t="s">
        <v>16</v>
      </c>
      <c r="B31">
        <v>1240</v>
      </c>
      <c r="C31">
        <v>2025</v>
      </c>
      <c r="D31">
        <v>66000</v>
      </c>
      <c r="E31" s="1" t="s">
        <v>6</v>
      </c>
    </row>
    <row r="32" spans="1:5" x14ac:dyDescent="0.3">
      <c r="A32" s="1" t="s">
        <v>17</v>
      </c>
      <c r="B32">
        <v>1250</v>
      </c>
      <c r="C32">
        <v>2023</v>
      </c>
      <c r="D32">
        <v>42327</v>
      </c>
      <c r="E32" s="1" t="s">
        <v>6</v>
      </c>
    </row>
    <row r="33" spans="1:5" x14ac:dyDescent="0.3">
      <c r="A33" s="1" t="s">
        <v>17</v>
      </c>
      <c r="B33">
        <v>1250</v>
      </c>
      <c r="C33">
        <v>2024</v>
      </c>
      <c r="D33">
        <v>39658</v>
      </c>
      <c r="E33" s="1" t="s">
        <v>6</v>
      </c>
    </row>
    <row r="34" spans="1:5" x14ac:dyDescent="0.3">
      <c r="A34" s="1" t="s">
        <v>17</v>
      </c>
      <c r="B34">
        <v>1250</v>
      </c>
      <c r="C34">
        <v>2025</v>
      </c>
      <c r="D34">
        <v>9374</v>
      </c>
      <c r="E34" s="1" t="s">
        <v>6</v>
      </c>
    </row>
    <row r="35" spans="1:5" x14ac:dyDescent="0.3">
      <c r="A35" s="1" t="s">
        <v>18</v>
      </c>
      <c r="B35">
        <v>1260</v>
      </c>
      <c r="C35">
        <v>2023</v>
      </c>
      <c r="D35">
        <v>26</v>
      </c>
      <c r="E35" s="1" t="s">
        <v>6</v>
      </c>
    </row>
    <row r="36" spans="1:5" x14ac:dyDescent="0.3">
      <c r="A36" s="1" t="s">
        <v>18</v>
      </c>
      <c r="B36">
        <v>1260</v>
      </c>
      <c r="C36">
        <v>2024</v>
      </c>
      <c r="D36">
        <v>182</v>
      </c>
      <c r="E36" s="1" t="s">
        <v>6</v>
      </c>
    </row>
    <row r="37" spans="1:5" x14ac:dyDescent="0.3">
      <c r="A37" s="1" t="s">
        <v>18</v>
      </c>
      <c r="B37">
        <v>1260</v>
      </c>
      <c r="C37">
        <v>2025</v>
      </c>
      <c r="D37">
        <v>0</v>
      </c>
      <c r="E37" s="1" t="s">
        <v>6</v>
      </c>
    </row>
    <row r="38" spans="1:5" x14ac:dyDescent="0.3">
      <c r="A38" s="1" t="s">
        <v>12</v>
      </c>
      <c r="B38">
        <v>1200</v>
      </c>
      <c r="C38">
        <v>2023</v>
      </c>
      <c r="D38">
        <v>3240244</v>
      </c>
      <c r="E38" s="1" t="s">
        <v>6</v>
      </c>
    </row>
    <row r="39" spans="1:5" x14ac:dyDescent="0.3">
      <c r="A39" s="1" t="s">
        <v>12</v>
      </c>
      <c r="B39">
        <v>1200</v>
      </c>
      <c r="C39">
        <v>2024</v>
      </c>
      <c r="D39">
        <v>4020533</v>
      </c>
      <c r="E39" s="1" t="s">
        <v>6</v>
      </c>
    </row>
    <row r="40" spans="1:5" x14ac:dyDescent="0.3">
      <c r="A40" s="1" t="s">
        <v>12</v>
      </c>
      <c r="B40">
        <v>1200</v>
      </c>
      <c r="C40">
        <v>2025</v>
      </c>
      <c r="D40">
        <v>4739556</v>
      </c>
      <c r="E40" s="1" t="s">
        <v>6</v>
      </c>
    </row>
    <row r="41" spans="1:5" x14ac:dyDescent="0.3">
      <c r="A41" s="1" t="s">
        <v>30</v>
      </c>
      <c r="B41">
        <v>1600</v>
      </c>
      <c r="C41">
        <v>2023</v>
      </c>
      <c r="D41">
        <v>3983498</v>
      </c>
      <c r="E41" s="1" t="s">
        <v>6</v>
      </c>
    </row>
    <row r="42" spans="1:5" x14ac:dyDescent="0.3">
      <c r="A42" s="1" t="s">
        <v>30</v>
      </c>
      <c r="B42">
        <v>1600</v>
      </c>
      <c r="C42">
        <v>2024</v>
      </c>
      <c r="D42">
        <v>4287479</v>
      </c>
      <c r="E42" s="1" t="s">
        <v>6</v>
      </c>
    </row>
    <row r="43" spans="1:5" x14ac:dyDescent="0.3">
      <c r="A43" s="1" t="s">
        <v>30</v>
      </c>
      <c r="B43">
        <v>1600</v>
      </c>
      <c r="C43">
        <v>2025</v>
      </c>
      <c r="D43">
        <v>5948756</v>
      </c>
      <c r="E43" s="1" t="s">
        <v>6</v>
      </c>
    </row>
    <row r="44" spans="1:5" x14ac:dyDescent="0.3">
      <c r="A44" s="1" t="s">
        <v>53</v>
      </c>
      <c r="B44">
        <v>1310</v>
      </c>
      <c r="C44">
        <v>2023</v>
      </c>
      <c r="D44">
        <v>73</v>
      </c>
      <c r="E44" s="1" t="s">
        <v>6</v>
      </c>
    </row>
    <row r="45" spans="1:5" x14ac:dyDescent="0.3">
      <c r="A45" s="1" t="s">
        <v>53</v>
      </c>
      <c r="B45">
        <v>1310</v>
      </c>
      <c r="C45">
        <v>2024</v>
      </c>
      <c r="D45">
        <v>73</v>
      </c>
      <c r="E45" s="1" t="s">
        <v>6</v>
      </c>
    </row>
    <row r="46" spans="1:5" x14ac:dyDescent="0.3">
      <c r="A46" s="1" t="s">
        <v>53</v>
      </c>
      <c r="B46">
        <v>1310</v>
      </c>
      <c r="C46">
        <v>2025</v>
      </c>
      <c r="D46">
        <v>73</v>
      </c>
      <c r="E46" s="1" t="s">
        <v>6</v>
      </c>
    </row>
    <row r="47" spans="1:5" x14ac:dyDescent="0.3">
      <c r="A47" s="1" t="s">
        <v>55</v>
      </c>
      <c r="B47">
        <v>1350</v>
      </c>
      <c r="C47">
        <v>2023</v>
      </c>
      <c r="D47">
        <v>54663</v>
      </c>
      <c r="E47" s="1" t="s">
        <v>6</v>
      </c>
    </row>
    <row r="48" spans="1:5" x14ac:dyDescent="0.3">
      <c r="A48" s="1" t="s">
        <v>55</v>
      </c>
      <c r="B48">
        <v>1350</v>
      </c>
      <c r="C48">
        <v>2024</v>
      </c>
      <c r="D48">
        <v>54663</v>
      </c>
      <c r="E48" s="1" t="s">
        <v>6</v>
      </c>
    </row>
    <row r="49" spans="1:5" x14ac:dyDescent="0.3">
      <c r="A49" s="1" t="s">
        <v>55</v>
      </c>
      <c r="B49">
        <v>1350</v>
      </c>
      <c r="C49">
        <v>2025</v>
      </c>
      <c r="D49">
        <v>54663</v>
      </c>
      <c r="E49" s="1" t="s">
        <v>6</v>
      </c>
    </row>
    <row r="50" spans="1:5" x14ac:dyDescent="0.3">
      <c r="A50" s="1" t="s">
        <v>22</v>
      </c>
      <c r="B50">
        <v>1370</v>
      </c>
      <c r="C50">
        <v>2023</v>
      </c>
      <c r="D50">
        <v>3090253</v>
      </c>
      <c r="E50" s="1" t="s">
        <v>6</v>
      </c>
    </row>
    <row r="51" spans="1:5" x14ac:dyDescent="0.3">
      <c r="A51" s="1" t="s">
        <v>22</v>
      </c>
      <c r="B51">
        <v>1370</v>
      </c>
      <c r="C51">
        <v>2024</v>
      </c>
      <c r="D51">
        <v>2859850</v>
      </c>
      <c r="E51" s="1" t="s">
        <v>6</v>
      </c>
    </row>
    <row r="52" spans="1:5" x14ac:dyDescent="0.3">
      <c r="A52" s="1" t="s">
        <v>22</v>
      </c>
      <c r="B52">
        <v>1370</v>
      </c>
      <c r="C52">
        <v>2025</v>
      </c>
      <c r="D52">
        <v>2484358</v>
      </c>
      <c r="E52" s="1" t="s">
        <v>6</v>
      </c>
    </row>
    <row r="53" spans="1:5" x14ac:dyDescent="0.3">
      <c r="A53" s="1" t="s">
        <v>19</v>
      </c>
      <c r="B53">
        <v>1300</v>
      </c>
      <c r="C53">
        <v>2023</v>
      </c>
      <c r="D53">
        <v>3144989</v>
      </c>
      <c r="E53" s="1" t="s">
        <v>6</v>
      </c>
    </row>
    <row r="54" spans="1:5" x14ac:dyDescent="0.3">
      <c r="A54" s="1" t="s">
        <v>19</v>
      </c>
      <c r="B54">
        <v>1300</v>
      </c>
      <c r="C54">
        <v>2024</v>
      </c>
      <c r="D54">
        <v>2914586</v>
      </c>
      <c r="E54" s="1" t="s">
        <v>6</v>
      </c>
    </row>
    <row r="55" spans="1:5" x14ac:dyDescent="0.3">
      <c r="A55" s="1" t="s">
        <v>19</v>
      </c>
      <c r="B55">
        <v>1300</v>
      </c>
      <c r="C55">
        <v>2025</v>
      </c>
      <c r="D55">
        <v>2539094</v>
      </c>
      <c r="E55" s="1" t="s">
        <v>6</v>
      </c>
    </row>
    <row r="56" spans="1:5" x14ac:dyDescent="0.3">
      <c r="A56" s="1" t="s">
        <v>24</v>
      </c>
      <c r="B56">
        <v>1410</v>
      </c>
      <c r="C56">
        <v>2023</v>
      </c>
      <c r="D56">
        <v>580000</v>
      </c>
      <c r="E56" s="1" t="s">
        <v>6</v>
      </c>
    </row>
    <row r="57" spans="1:5" x14ac:dyDescent="0.3">
      <c r="A57" s="1" t="s">
        <v>24</v>
      </c>
      <c r="B57">
        <v>1410</v>
      </c>
      <c r="C57">
        <v>2024</v>
      </c>
      <c r="D57">
        <v>605000</v>
      </c>
      <c r="E57" s="1" t="s">
        <v>6</v>
      </c>
    </row>
    <row r="58" spans="1:5" x14ac:dyDescent="0.3">
      <c r="A58" s="1" t="s">
        <v>24</v>
      </c>
      <c r="B58">
        <v>1410</v>
      </c>
      <c r="C58">
        <v>2025</v>
      </c>
      <c r="D58">
        <v>2039000</v>
      </c>
      <c r="E58" s="1" t="s">
        <v>6</v>
      </c>
    </row>
    <row r="59" spans="1:5" x14ac:dyDescent="0.3">
      <c r="A59" s="1" t="s">
        <v>25</v>
      </c>
      <c r="B59">
        <v>1420</v>
      </c>
      <c r="C59">
        <v>2023</v>
      </c>
      <c r="D59">
        <v>3476</v>
      </c>
      <c r="E59" s="1" t="s">
        <v>6</v>
      </c>
    </row>
    <row r="60" spans="1:5" x14ac:dyDescent="0.3">
      <c r="A60" s="1" t="s">
        <v>25</v>
      </c>
      <c r="B60">
        <v>1420</v>
      </c>
      <c r="C60">
        <v>2024</v>
      </c>
      <c r="D60">
        <v>7474</v>
      </c>
      <c r="E60" s="1" t="s">
        <v>6</v>
      </c>
    </row>
    <row r="61" spans="1:5" x14ac:dyDescent="0.3">
      <c r="A61" s="1" t="s">
        <v>25</v>
      </c>
      <c r="B61">
        <v>1420</v>
      </c>
      <c r="C61">
        <v>2025</v>
      </c>
      <c r="D61">
        <v>28866</v>
      </c>
      <c r="E61" s="1" t="s">
        <v>6</v>
      </c>
    </row>
    <row r="62" spans="1:5" x14ac:dyDescent="0.3">
      <c r="A62" s="1" t="s">
        <v>57</v>
      </c>
      <c r="B62">
        <v>1450</v>
      </c>
      <c r="C62">
        <v>2023</v>
      </c>
      <c r="D62">
        <v>6613</v>
      </c>
      <c r="E62" s="1" t="s">
        <v>6</v>
      </c>
    </row>
    <row r="63" spans="1:5" x14ac:dyDescent="0.3">
      <c r="A63" s="1" t="s">
        <v>57</v>
      </c>
      <c r="B63">
        <v>1450</v>
      </c>
      <c r="C63">
        <v>2024</v>
      </c>
      <c r="D63">
        <v>21152</v>
      </c>
      <c r="E63" s="1" t="s">
        <v>6</v>
      </c>
    </row>
    <row r="64" spans="1:5" x14ac:dyDescent="0.3">
      <c r="A64" s="1" t="s">
        <v>57</v>
      </c>
      <c r="B64">
        <v>1450</v>
      </c>
      <c r="C64">
        <v>2025</v>
      </c>
      <c r="D64">
        <v>0</v>
      </c>
      <c r="E64" s="1" t="s">
        <v>6</v>
      </c>
    </row>
    <row r="65" spans="1:5" x14ac:dyDescent="0.3">
      <c r="A65" s="1" t="s">
        <v>23</v>
      </c>
      <c r="B65">
        <v>1400</v>
      </c>
      <c r="C65">
        <v>2023</v>
      </c>
      <c r="D65">
        <v>590089</v>
      </c>
      <c r="E65" s="1" t="s">
        <v>6</v>
      </c>
    </row>
    <row r="66" spans="1:5" x14ac:dyDescent="0.3">
      <c r="A66" s="1" t="s">
        <v>23</v>
      </c>
      <c r="B66">
        <v>1400</v>
      </c>
      <c r="C66">
        <v>2024</v>
      </c>
      <c r="D66">
        <v>633626</v>
      </c>
      <c r="E66" s="1" t="s">
        <v>6</v>
      </c>
    </row>
    <row r="67" spans="1:5" x14ac:dyDescent="0.3">
      <c r="A67" s="1" t="s">
        <v>23</v>
      </c>
      <c r="B67">
        <v>1400</v>
      </c>
      <c r="C67">
        <v>2025</v>
      </c>
      <c r="D67">
        <v>2067866</v>
      </c>
      <c r="E67" s="1" t="s">
        <v>6</v>
      </c>
    </row>
    <row r="68" spans="1:5" x14ac:dyDescent="0.3">
      <c r="A68" s="1" t="s">
        <v>24</v>
      </c>
      <c r="B68">
        <v>1510</v>
      </c>
      <c r="C68">
        <v>2023</v>
      </c>
      <c r="D68">
        <v>0</v>
      </c>
      <c r="E68" s="1" t="s">
        <v>6</v>
      </c>
    </row>
    <row r="69" spans="1:5" x14ac:dyDescent="0.3">
      <c r="A69" s="1" t="s">
        <v>24</v>
      </c>
      <c r="B69">
        <v>1510</v>
      </c>
      <c r="C69">
        <v>2024</v>
      </c>
      <c r="D69">
        <v>0</v>
      </c>
      <c r="E69" s="1" t="s">
        <v>6</v>
      </c>
    </row>
    <row r="70" spans="1:5" x14ac:dyDescent="0.3">
      <c r="A70" s="1" t="s">
        <v>24</v>
      </c>
      <c r="B70">
        <v>1510</v>
      </c>
      <c r="C70">
        <v>2025</v>
      </c>
      <c r="D70">
        <v>0</v>
      </c>
      <c r="E70" s="1" t="s">
        <v>6</v>
      </c>
    </row>
    <row r="71" spans="1:5" x14ac:dyDescent="0.3">
      <c r="A71" s="1" t="s">
        <v>28</v>
      </c>
      <c r="B71">
        <v>1520</v>
      </c>
      <c r="C71">
        <v>2023</v>
      </c>
      <c r="D71">
        <v>190284</v>
      </c>
      <c r="E71" s="1" t="s">
        <v>6</v>
      </c>
    </row>
    <row r="72" spans="1:5" x14ac:dyDescent="0.3">
      <c r="A72" s="1" t="s">
        <v>28</v>
      </c>
      <c r="B72">
        <v>1520</v>
      </c>
      <c r="C72">
        <v>2024</v>
      </c>
      <c r="D72">
        <v>666648</v>
      </c>
      <c r="E72" s="1" t="s">
        <v>6</v>
      </c>
    </row>
    <row r="73" spans="1:5" x14ac:dyDescent="0.3">
      <c r="A73" s="1" t="s">
        <v>28</v>
      </c>
      <c r="B73">
        <v>1520</v>
      </c>
      <c r="C73">
        <v>2025</v>
      </c>
      <c r="D73">
        <v>1228249</v>
      </c>
      <c r="E73" s="1" t="s">
        <v>6</v>
      </c>
    </row>
    <row r="74" spans="1:5" x14ac:dyDescent="0.3">
      <c r="A74" s="1" t="s">
        <v>29</v>
      </c>
      <c r="B74">
        <v>1540</v>
      </c>
      <c r="C74">
        <v>2023</v>
      </c>
      <c r="D74">
        <v>58126</v>
      </c>
      <c r="E74" s="1" t="s">
        <v>6</v>
      </c>
    </row>
    <row r="75" spans="1:5" x14ac:dyDescent="0.3">
      <c r="A75" s="1" t="s">
        <v>29</v>
      </c>
      <c r="B75">
        <v>1540</v>
      </c>
      <c r="C75">
        <v>2024</v>
      </c>
      <c r="D75">
        <v>71456</v>
      </c>
      <c r="E75" s="1" t="s">
        <v>6</v>
      </c>
    </row>
    <row r="76" spans="1:5" x14ac:dyDescent="0.3">
      <c r="A76" s="1" t="s">
        <v>29</v>
      </c>
      <c r="B76">
        <v>1540</v>
      </c>
      <c r="C76">
        <v>2025</v>
      </c>
      <c r="D76">
        <v>81334</v>
      </c>
      <c r="E76" s="1" t="s">
        <v>6</v>
      </c>
    </row>
    <row r="77" spans="1:5" x14ac:dyDescent="0.3">
      <c r="A77" s="1" t="s">
        <v>26</v>
      </c>
      <c r="B77">
        <v>1550</v>
      </c>
      <c r="C77">
        <v>2023</v>
      </c>
      <c r="D77">
        <v>10</v>
      </c>
      <c r="E77" s="1" t="s">
        <v>6</v>
      </c>
    </row>
    <row r="78" spans="1:5" x14ac:dyDescent="0.3">
      <c r="A78" s="1" t="s">
        <v>26</v>
      </c>
      <c r="B78">
        <v>1550</v>
      </c>
      <c r="C78">
        <v>2024</v>
      </c>
      <c r="D78">
        <v>1163</v>
      </c>
      <c r="E78" s="1" t="s">
        <v>6</v>
      </c>
    </row>
    <row r="79" spans="1:5" x14ac:dyDescent="0.3">
      <c r="A79" s="1" t="s">
        <v>26</v>
      </c>
      <c r="B79">
        <v>1550</v>
      </c>
      <c r="C79">
        <v>2025</v>
      </c>
      <c r="D79">
        <v>442</v>
      </c>
      <c r="E79" s="1" t="s">
        <v>6</v>
      </c>
    </row>
    <row r="80" spans="1:5" x14ac:dyDescent="0.3">
      <c r="A80" s="1" t="s">
        <v>27</v>
      </c>
      <c r="B80">
        <v>1500</v>
      </c>
      <c r="C80">
        <v>2023</v>
      </c>
      <c r="D80">
        <v>248420</v>
      </c>
      <c r="E80" s="1" t="s">
        <v>6</v>
      </c>
    </row>
    <row r="81" spans="1:5" x14ac:dyDescent="0.3">
      <c r="A81" s="1" t="s">
        <v>27</v>
      </c>
      <c r="B81">
        <v>1500</v>
      </c>
      <c r="C81">
        <v>2024</v>
      </c>
      <c r="D81">
        <v>739267</v>
      </c>
      <c r="E81" s="1" t="s">
        <v>6</v>
      </c>
    </row>
    <row r="82" spans="1:5" x14ac:dyDescent="0.3">
      <c r="A82" s="1" t="s">
        <v>27</v>
      </c>
      <c r="B82">
        <v>1500</v>
      </c>
      <c r="C82">
        <v>2025</v>
      </c>
      <c r="D82">
        <v>1341796</v>
      </c>
      <c r="E82" s="1" t="s">
        <v>6</v>
      </c>
    </row>
    <row r="83" spans="1:5" x14ac:dyDescent="0.3">
      <c r="A83" s="1" t="s">
        <v>59</v>
      </c>
      <c r="B83">
        <v>1700</v>
      </c>
      <c r="C83">
        <v>2023</v>
      </c>
      <c r="D83">
        <v>3983498</v>
      </c>
      <c r="E83" s="1" t="s">
        <v>6</v>
      </c>
    </row>
    <row r="84" spans="1:5" x14ac:dyDescent="0.3">
      <c r="A84" s="1" t="s">
        <v>59</v>
      </c>
      <c r="B84">
        <v>1700</v>
      </c>
      <c r="C84">
        <v>2024</v>
      </c>
      <c r="D84">
        <v>4287479</v>
      </c>
      <c r="E84" s="1" t="s">
        <v>6</v>
      </c>
    </row>
    <row r="85" spans="1:5" x14ac:dyDescent="0.3">
      <c r="A85" s="1" t="s">
        <v>59</v>
      </c>
      <c r="B85">
        <v>1700</v>
      </c>
      <c r="C85">
        <v>2025</v>
      </c>
      <c r="D85">
        <v>5948756</v>
      </c>
      <c r="E85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5"/>
  <sheetViews>
    <sheetView workbookViewId="0"/>
  </sheetViews>
  <sheetFormatPr defaultRowHeight="14.4" x14ac:dyDescent="0.3"/>
  <cols>
    <col min="1" max="1" width="68.5546875" customWidth="1"/>
    <col min="2" max="2" width="11.33203125" customWidth="1"/>
    <col min="3" max="3" width="6.88671875" customWidth="1"/>
    <col min="4" max="4" width="8" customWidth="1"/>
    <col min="5" max="5" width="1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7</v>
      </c>
      <c r="B2">
        <v>1110</v>
      </c>
      <c r="C2">
        <v>2020</v>
      </c>
      <c r="D2">
        <v>56507</v>
      </c>
      <c r="E2" s="1" t="s">
        <v>6</v>
      </c>
    </row>
    <row r="3" spans="1:5" x14ac:dyDescent="0.3">
      <c r="A3" s="1" t="s">
        <v>7</v>
      </c>
      <c r="B3">
        <v>1110</v>
      </c>
      <c r="C3">
        <v>2021</v>
      </c>
      <c r="D3">
        <v>49737</v>
      </c>
      <c r="E3" s="1" t="s">
        <v>6</v>
      </c>
    </row>
    <row r="4" spans="1:5" x14ac:dyDescent="0.3">
      <c r="A4" s="1" t="s">
        <v>7</v>
      </c>
      <c r="B4">
        <v>1110</v>
      </c>
      <c r="C4">
        <v>2022</v>
      </c>
      <c r="D4">
        <v>26219</v>
      </c>
      <c r="E4" s="1" t="s">
        <v>6</v>
      </c>
    </row>
    <row r="5" spans="1:5" x14ac:dyDescent="0.3">
      <c r="A5" s="1" t="s">
        <v>8</v>
      </c>
      <c r="B5">
        <v>1150</v>
      </c>
      <c r="C5">
        <v>2020</v>
      </c>
      <c r="D5">
        <v>90852</v>
      </c>
      <c r="E5" s="1" t="s">
        <v>6</v>
      </c>
    </row>
    <row r="6" spans="1:5" x14ac:dyDescent="0.3">
      <c r="A6" s="1" t="s">
        <v>8</v>
      </c>
      <c r="B6">
        <v>1150</v>
      </c>
      <c r="C6">
        <v>2021</v>
      </c>
      <c r="D6">
        <v>162270</v>
      </c>
      <c r="E6" s="1" t="s">
        <v>6</v>
      </c>
    </row>
    <row r="7" spans="1:5" x14ac:dyDescent="0.3">
      <c r="A7" s="1" t="s">
        <v>8</v>
      </c>
      <c r="B7">
        <v>1150</v>
      </c>
      <c r="C7">
        <v>2022</v>
      </c>
      <c r="D7">
        <v>148762</v>
      </c>
      <c r="E7" s="1" t="s">
        <v>6</v>
      </c>
    </row>
    <row r="8" spans="1:5" x14ac:dyDescent="0.3">
      <c r="A8" s="1" t="s">
        <v>9</v>
      </c>
      <c r="B8">
        <v>1160</v>
      </c>
      <c r="C8">
        <v>2020</v>
      </c>
      <c r="D8">
        <v>0</v>
      </c>
      <c r="E8" s="1" t="s">
        <v>6</v>
      </c>
    </row>
    <row r="9" spans="1:5" x14ac:dyDescent="0.3">
      <c r="A9" s="1" t="s">
        <v>9</v>
      </c>
      <c r="B9">
        <v>1160</v>
      </c>
      <c r="C9">
        <v>2021</v>
      </c>
      <c r="D9">
        <v>1213</v>
      </c>
      <c r="E9" s="1" t="s">
        <v>6</v>
      </c>
    </row>
    <row r="10" spans="1:5" x14ac:dyDescent="0.3">
      <c r="A10" s="1" t="s">
        <v>9</v>
      </c>
      <c r="B10">
        <v>1160</v>
      </c>
      <c r="C10">
        <v>2022</v>
      </c>
      <c r="D10">
        <v>1213</v>
      </c>
      <c r="E10" s="1" t="s">
        <v>6</v>
      </c>
    </row>
    <row r="11" spans="1:5" x14ac:dyDescent="0.3">
      <c r="A11" s="1" t="s">
        <v>10</v>
      </c>
      <c r="B11">
        <v>1170</v>
      </c>
      <c r="C11">
        <v>2020</v>
      </c>
      <c r="D11">
        <v>113733</v>
      </c>
      <c r="E11" s="1" t="s">
        <v>6</v>
      </c>
    </row>
    <row r="12" spans="1:5" x14ac:dyDescent="0.3">
      <c r="A12" s="1" t="s">
        <v>10</v>
      </c>
      <c r="B12">
        <v>1170</v>
      </c>
      <c r="C12">
        <v>2021</v>
      </c>
      <c r="D12">
        <v>126685</v>
      </c>
      <c r="E12" s="1" t="s">
        <v>6</v>
      </c>
    </row>
    <row r="13" spans="1:5" x14ac:dyDescent="0.3">
      <c r="A13" s="1" t="s">
        <v>10</v>
      </c>
      <c r="B13">
        <v>1170</v>
      </c>
      <c r="C13">
        <v>2022</v>
      </c>
      <c r="D13">
        <v>112601</v>
      </c>
      <c r="E13" s="1" t="s">
        <v>6</v>
      </c>
    </row>
    <row r="14" spans="1:5" x14ac:dyDescent="0.3">
      <c r="A14" s="1" t="s">
        <v>11</v>
      </c>
      <c r="B14">
        <v>1180</v>
      </c>
      <c r="C14">
        <v>2020</v>
      </c>
      <c r="D14">
        <v>7208</v>
      </c>
      <c r="E14" s="1" t="s">
        <v>6</v>
      </c>
    </row>
    <row r="15" spans="1:5" x14ac:dyDescent="0.3">
      <c r="A15" s="1" t="s">
        <v>11</v>
      </c>
      <c r="B15">
        <v>1180</v>
      </c>
      <c r="C15">
        <v>2021</v>
      </c>
      <c r="D15">
        <v>3370</v>
      </c>
      <c r="E15" s="1" t="s">
        <v>6</v>
      </c>
    </row>
    <row r="16" spans="1:5" x14ac:dyDescent="0.3">
      <c r="A16" s="1" t="s">
        <v>11</v>
      </c>
      <c r="B16">
        <v>1180</v>
      </c>
      <c r="C16">
        <v>2022</v>
      </c>
      <c r="D16">
        <v>0</v>
      </c>
      <c r="E16" s="1" t="s">
        <v>6</v>
      </c>
    </row>
    <row r="17" spans="1:5" x14ac:dyDescent="0.3">
      <c r="A17" s="1" t="s">
        <v>5</v>
      </c>
      <c r="B17">
        <v>1100</v>
      </c>
      <c r="C17">
        <v>2020</v>
      </c>
      <c r="D17">
        <v>268300</v>
      </c>
      <c r="E17" s="1" t="s">
        <v>6</v>
      </c>
    </row>
    <row r="18" spans="1:5" x14ac:dyDescent="0.3">
      <c r="A18" s="1" t="s">
        <v>5</v>
      </c>
      <c r="B18">
        <v>1100</v>
      </c>
      <c r="C18">
        <v>2021</v>
      </c>
      <c r="D18">
        <v>343275</v>
      </c>
      <c r="E18" s="1" t="s">
        <v>6</v>
      </c>
    </row>
    <row r="19" spans="1:5" x14ac:dyDescent="0.3">
      <c r="A19" s="1" t="s">
        <v>5</v>
      </c>
      <c r="B19">
        <v>1100</v>
      </c>
      <c r="C19">
        <v>2022</v>
      </c>
      <c r="D19">
        <v>288795</v>
      </c>
      <c r="E19" s="1" t="s">
        <v>6</v>
      </c>
    </row>
    <row r="20" spans="1:5" x14ac:dyDescent="0.3">
      <c r="A20" s="1" t="s">
        <v>13</v>
      </c>
      <c r="B20">
        <v>1210</v>
      </c>
      <c r="C20">
        <v>2020</v>
      </c>
      <c r="D20">
        <v>425</v>
      </c>
      <c r="E20" s="1" t="s">
        <v>6</v>
      </c>
    </row>
    <row r="21" spans="1:5" x14ac:dyDescent="0.3">
      <c r="A21" s="1" t="s">
        <v>13</v>
      </c>
      <c r="B21">
        <v>1210</v>
      </c>
      <c r="C21">
        <v>2021</v>
      </c>
      <c r="D21">
        <v>31</v>
      </c>
      <c r="E21" s="1" t="s">
        <v>6</v>
      </c>
    </row>
    <row r="22" spans="1:5" x14ac:dyDescent="0.3">
      <c r="A22" s="1" t="s">
        <v>13</v>
      </c>
      <c r="B22">
        <v>1210</v>
      </c>
      <c r="C22">
        <v>2022</v>
      </c>
      <c r="D22">
        <v>2936</v>
      </c>
      <c r="E22" s="1" t="s">
        <v>6</v>
      </c>
    </row>
    <row r="23" spans="1:5" x14ac:dyDescent="0.3">
      <c r="A23" s="1" t="s">
        <v>14</v>
      </c>
      <c r="B23">
        <v>1220</v>
      </c>
      <c r="C23">
        <v>2020</v>
      </c>
      <c r="D23">
        <v>0</v>
      </c>
      <c r="E23" s="1" t="s">
        <v>6</v>
      </c>
    </row>
    <row r="24" spans="1:5" x14ac:dyDescent="0.3">
      <c r="A24" s="1" t="s">
        <v>14</v>
      </c>
      <c r="B24">
        <v>1220</v>
      </c>
      <c r="C24">
        <v>2021</v>
      </c>
      <c r="D24">
        <v>0</v>
      </c>
      <c r="E24" s="1" t="s">
        <v>6</v>
      </c>
    </row>
    <row r="25" spans="1:5" x14ac:dyDescent="0.3">
      <c r="A25" s="1" t="s">
        <v>14</v>
      </c>
      <c r="B25">
        <v>1220</v>
      </c>
      <c r="C25">
        <v>2022</v>
      </c>
      <c r="D25">
        <v>0</v>
      </c>
      <c r="E25" s="1" t="s">
        <v>6</v>
      </c>
    </row>
    <row r="26" spans="1:5" x14ac:dyDescent="0.3">
      <c r="A26" s="1" t="s">
        <v>15</v>
      </c>
      <c r="B26">
        <v>1230</v>
      </c>
      <c r="C26">
        <v>2020</v>
      </c>
      <c r="D26">
        <v>259411</v>
      </c>
      <c r="E26" s="1" t="s">
        <v>6</v>
      </c>
    </row>
    <row r="27" spans="1:5" x14ac:dyDescent="0.3">
      <c r="A27" s="1" t="s">
        <v>15</v>
      </c>
      <c r="B27">
        <v>1230</v>
      </c>
      <c r="C27">
        <v>2021</v>
      </c>
      <c r="D27">
        <v>626083</v>
      </c>
      <c r="E27" s="1" t="s">
        <v>6</v>
      </c>
    </row>
    <row r="28" spans="1:5" x14ac:dyDescent="0.3">
      <c r="A28" s="1" t="s">
        <v>15</v>
      </c>
      <c r="B28">
        <v>1230</v>
      </c>
      <c r="C28">
        <v>2022</v>
      </c>
      <c r="D28">
        <v>1553374</v>
      </c>
      <c r="E28" s="1" t="s">
        <v>6</v>
      </c>
    </row>
    <row r="29" spans="1:5" x14ac:dyDescent="0.3">
      <c r="A29" s="1" t="s">
        <v>16</v>
      </c>
      <c r="B29">
        <v>1240</v>
      </c>
      <c r="C29">
        <v>2020</v>
      </c>
      <c r="D29">
        <v>1173610</v>
      </c>
      <c r="E29" s="1" t="s">
        <v>6</v>
      </c>
    </row>
    <row r="30" spans="1:5" x14ac:dyDescent="0.3">
      <c r="A30" s="1" t="s">
        <v>16</v>
      </c>
      <c r="B30">
        <v>1240</v>
      </c>
      <c r="C30">
        <v>2021</v>
      </c>
      <c r="D30">
        <v>975121</v>
      </c>
      <c r="E30" s="1" t="s">
        <v>6</v>
      </c>
    </row>
    <row r="31" spans="1:5" x14ac:dyDescent="0.3">
      <c r="A31" s="1" t="s">
        <v>16</v>
      </c>
      <c r="B31">
        <v>1240</v>
      </c>
      <c r="C31">
        <v>2022</v>
      </c>
      <c r="D31">
        <v>1083368</v>
      </c>
      <c r="E31" s="1" t="s">
        <v>6</v>
      </c>
    </row>
    <row r="32" spans="1:5" x14ac:dyDescent="0.3">
      <c r="A32" s="1" t="s">
        <v>17</v>
      </c>
      <c r="B32">
        <v>1250</v>
      </c>
      <c r="C32">
        <v>2020</v>
      </c>
      <c r="D32">
        <v>1302369</v>
      </c>
      <c r="E32" s="1" t="s">
        <v>6</v>
      </c>
    </row>
    <row r="33" spans="1:5" x14ac:dyDescent="0.3">
      <c r="A33" s="1" t="s">
        <v>17</v>
      </c>
      <c r="B33">
        <v>1250</v>
      </c>
      <c r="C33">
        <v>2021</v>
      </c>
      <c r="D33">
        <v>2484861</v>
      </c>
      <c r="E33" s="1" t="s">
        <v>6</v>
      </c>
    </row>
    <row r="34" spans="1:5" x14ac:dyDescent="0.3">
      <c r="A34" s="1" t="s">
        <v>17</v>
      </c>
      <c r="B34">
        <v>1250</v>
      </c>
      <c r="C34">
        <v>2022</v>
      </c>
      <c r="D34">
        <v>1034196</v>
      </c>
      <c r="E34" s="1" t="s">
        <v>6</v>
      </c>
    </row>
    <row r="35" spans="1:5" x14ac:dyDescent="0.3">
      <c r="A35" s="1" t="s">
        <v>18</v>
      </c>
      <c r="B35">
        <v>1260</v>
      </c>
      <c r="C35">
        <v>2020</v>
      </c>
      <c r="D35">
        <v>14870</v>
      </c>
      <c r="E35" s="1" t="s">
        <v>6</v>
      </c>
    </row>
    <row r="36" spans="1:5" x14ac:dyDescent="0.3">
      <c r="A36" s="1" t="s">
        <v>18</v>
      </c>
      <c r="B36">
        <v>1260</v>
      </c>
      <c r="C36">
        <v>2021</v>
      </c>
      <c r="D36">
        <v>16362</v>
      </c>
      <c r="E36" s="1" t="s">
        <v>6</v>
      </c>
    </row>
    <row r="37" spans="1:5" x14ac:dyDescent="0.3">
      <c r="A37" s="1" t="s">
        <v>18</v>
      </c>
      <c r="B37">
        <v>1260</v>
      </c>
      <c r="C37">
        <v>2022</v>
      </c>
      <c r="D37">
        <v>7189</v>
      </c>
      <c r="E37" s="1" t="s">
        <v>6</v>
      </c>
    </row>
    <row r="38" spans="1:5" x14ac:dyDescent="0.3">
      <c r="A38" s="1" t="s">
        <v>12</v>
      </c>
      <c r="B38">
        <v>1200</v>
      </c>
      <c r="C38">
        <v>2020</v>
      </c>
      <c r="D38">
        <v>2750685</v>
      </c>
      <c r="E38" s="1" t="s">
        <v>6</v>
      </c>
    </row>
    <row r="39" spans="1:5" x14ac:dyDescent="0.3">
      <c r="A39" s="1" t="s">
        <v>12</v>
      </c>
      <c r="B39">
        <v>1200</v>
      </c>
      <c r="C39">
        <v>2021</v>
      </c>
      <c r="D39">
        <v>4102458</v>
      </c>
      <c r="E39" s="1" t="s">
        <v>6</v>
      </c>
    </row>
    <row r="40" spans="1:5" x14ac:dyDescent="0.3">
      <c r="A40" s="1" t="s">
        <v>12</v>
      </c>
      <c r="B40">
        <v>1200</v>
      </c>
      <c r="C40">
        <v>2022</v>
      </c>
      <c r="D40">
        <v>3681063</v>
      </c>
      <c r="E40" s="1" t="s">
        <v>6</v>
      </c>
    </row>
    <row r="41" spans="1:5" x14ac:dyDescent="0.3">
      <c r="A41" s="1" t="s">
        <v>58</v>
      </c>
      <c r="B41">
        <v>1600</v>
      </c>
      <c r="C41">
        <v>2020</v>
      </c>
      <c r="D41">
        <v>3018985</v>
      </c>
      <c r="E41" s="1" t="s">
        <v>6</v>
      </c>
    </row>
    <row r="42" spans="1:5" x14ac:dyDescent="0.3">
      <c r="A42" s="1" t="s">
        <v>58</v>
      </c>
      <c r="B42">
        <v>1600</v>
      </c>
      <c r="C42">
        <v>2021</v>
      </c>
      <c r="D42">
        <v>4445733</v>
      </c>
      <c r="E42" s="1" t="s">
        <v>6</v>
      </c>
    </row>
    <row r="43" spans="1:5" x14ac:dyDescent="0.3">
      <c r="A43" s="1" t="s">
        <v>58</v>
      </c>
      <c r="B43">
        <v>1600</v>
      </c>
      <c r="C43">
        <v>2022</v>
      </c>
      <c r="D43">
        <v>3969858</v>
      </c>
      <c r="E43" s="1" t="s">
        <v>6</v>
      </c>
    </row>
    <row r="44" spans="1:5" x14ac:dyDescent="0.3">
      <c r="A44" s="1" t="s">
        <v>52</v>
      </c>
      <c r="B44">
        <v>1310</v>
      </c>
      <c r="C44">
        <v>2020</v>
      </c>
      <c r="D44">
        <v>73</v>
      </c>
      <c r="E44" s="1" t="s">
        <v>6</v>
      </c>
    </row>
    <row r="45" spans="1:5" x14ac:dyDescent="0.3">
      <c r="A45" s="1" t="s">
        <v>52</v>
      </c>
      <c r="B45">
        <v>1310</v>
      </c>
      <c r="C45">
        <v>2021</v>
      </c>
      <c r="D45">
        <v>73</v>
      </c>
      <c r="E45" s="1" t="s">
        <v>6</v>
      </c>
    </row>
    <row r="46" spans="1:5" x14ac:dyDescent="0.3">
      <c r="A46" s="1" t="s">
        <v>52</v>
      </c>
      <c r="B46">
        <v>1310</v>
      </c>
      <c r="C46">
        <v>2022</v>
      </c>
      <c r="D46">
        <v>73</v>
      </c>
      <c r="E46" s="1" t="s">
        <v>6</v>
      </c>
    </row>
    <row r="47" spans="1:5" x14ac:dyDescent="0.3">
      <c r="A47" s="1" t="s">
        <v>54</v>
      </c>
      <c r="B47">
        <v>1350</v>
      </c>
      <c r="C47">
        <v>2020</v>
      </c>
      <c r="D47">
        <v>44798</v>
      </c>
      <c r="E47" s="1" t="s">
        <v>6</v>
      </c>
    </row>
    <row r="48" spans="1:5" x14ac:dyDescent="0.3">
      <c r="A48" s="1" t="s">
        <v>54</v>
      </c>
      <c r="B48">
        <v>1350</v>
      </c>
      <c r="C48">
        <v>2021</v>
      </c>
      <c r="D48">
        <v>44798</v>
      </c>
      <c r="E48" s="1" t="s">
        <v>6</v>
      </c>
    </row>
    <row r="49" spans="1:5" x14ac:dyDescent="0.3">
      <c r="A49" s="1" t="s">
        <v>54</v>
      </c>
      <c r="B49">
        <v>1350</v>
      </c>
      <c r="C49">
        <v>2022</v>
      </c>
      <c r="D49">
        <v>54663</v>
      </c>
      <c r="E49" s="1" t="s">
        <v>6</v>
      </c>
    </row>
    <row r="50" spans="1:5" x14ac:dyDescent="0.3">
      <c r="A50" s="1" t="s">
        <v>22</v>
      </c>
      <c r="B50">
        <v>1370</v>
      </c>
      <c r="C50">
        <v>2020</v>
      </c>
      <c r="D50">
        <v>2912763</v>
      </c>
      <c r="E50" s="1" t="s">
        <v>6</v>
      </c>
    </row>
    <row r="51" spans="1:5" x14ac:dyDescent="0.3">
      <c r="A51" s="1" t="s">
        <v>22</v>
      </c>
      <c r="B51">
        <v>1370</v>
      </c>
      <c r="C51">
        <v>2021</v>
      </c>
      <c r="D51">
        <v>3930791</v>
      </c>
      <c r="E51" s="1" t="s">
        <v>6</v>
      </c>
    </row>
    <row r="52" spans="1:5" x14ac:dyDescent="0.3">
      <c r="A52" s="1" t="s">
        <v>22</v>
      </c>
      <c r="B52">
        <v>1370</v>
      </c>
      <c r="C52">
        <v>2022</v>
      </c>
      <c r="D52">
        <v>3502804</v>
      </c>
      <c r="E52" s="1" t="s">
        <v>6</v>
      </c>
    </row>
    <row r="53" spans="1:5" x14ac:dyDescent="0.3">
      <c r="A53" s="1" t="s">
        <v>19</v>
      </c>
      <c r="B53">
        <v>1300</v>
      </c>
      <c r="C53">
        <v>2020</v>
      </c>
      <c r="D53">
        <v>2957634</v>
      </c>
      <c r="E53" s="1" t="s">
        <v>6</v>
      </c>
    </row>
    <row r="54" spans="1:5" x14ac:dyDescent="0.3">
      <c r="A54" s="1" t="s">
        <v>19</v>
      </c>
      <c r="B54">
        <v>1300</v>
      </c>
      <c r="C54">
        <v>2021</v>
      </c>
      <c r="D54">
        <v>3975662</v>
      </c>
      <c r="E54" s="1" t="s">
        <v>6</v>
      </c>
    </row>
    <row r="55" spans="1:5" x14ac:dyDescent="0.3">
      <c r="A55" s="1" t="s">
        <v>19</v>
      </c>
      <c r="B55">
        <v>1300</v>
      </c>
      <c r="C55">
        <v>2022</v>
      </c>
      <c r="D55">
        <v>3557540</v>
      </c>
      <c r="E55" s="1" t="s">
        <v>6</v>
      </c>
    </row>
    <row r="56" spans="1:5" x14ac:dyDescent="0.3">
      <c r="A56" s="1" t="s">
        <v>24</v>
      </c>
      <c r="B56">
        <v>1410</v>
      </c>
      <c r="C56">
        <v>2020</v>
      </c>
      <c r="D56">
        <v>0</v>
      </c>
      <c r="E56" s="1" t="s">
        <v>6</v>
      </c>
    </row>
    <row r="57" spans="1:5" x14ac:dyDescent="0.3">
      <c r="A57" s="1" t="s">
        <v>24</v>
      </c>
      <c r="B57">
        <v>1410</v>
      </c>
      <c r="C57">
        <v>2021</v>
      </c>
      <c r="D57">
        <v>120000</v>
      </c>
      <c r="E57" s="1" t="s">
        <v>6</v>
      </c>
    </row>
    <row r="58" spans="1:5" x14ac:dyDescent="0.3">
      <c r="A58" s="1" t="s">
        <v>24</v>
      </c>
      <c r="B58">
        <v>1410</v>
      </c>
      <c r="C58">
        <v>2022</v>
      </c>
      <c r="D58">
        <v>120000</v>
      </c>
      <c r="E58" s="1" t="s">
        <v>6</v>
      </c>
    </row>
    <row r="59" spans="1:5" x14ac:dyDescent="0.3">
      <c r="A59" s="1" t="s">
        <v>25</v>
      </c>
      <c r="B59">
        <v>1420</v>
      </c>
      <c r="C59">
        <v>2020</v>
      </c>
      <c r="D59">
        <v>230</v>
      </c>
      <c r="E59" s="1" t="s">
        <v>6</v>
      </c>
    </row>
    <row r="60" spans="1:5" x14ac:dyDescent="0.3">
      <c r="A60" s="1" t="s">
        <v>25</v>
      </c>
      <c r="B60">
        <v>1420</v>
      </c>
      <c r="C60">
        <v>2021</v>
      </c>
      <c r="D60">
        <v>1207</v>
      </c>
      <c r="E60" s="1" t="s">
        <v>6</v>
      </c>
    </row>
    <row r="61" spans="1:5" x14ac:dyDescent="0.3">
      <c r="A61" s="1" t="s">
        <v>25</v>
      </c>
      <c r="B61">
        <v>1420</v>
      </c>
      <c r="C61">
        <v>2022</v>
      </c>
      <c r="D61">
        <v>0</v>
      </c>
      <c r="E61" s="1" t="s">
        <v>6</v>
      </c>
    </row>
    <row r="62" spans="1:5" x14ac:dyDescent="0.3">
      <c r="A62" s="1" t="s">
        <v>56</v>
      </c>
      <c r="B62">
        <v>1450</v>
      </c>
      <c r="C62">
        <v>2020</v>
      </c>
      <c r="D62">
        <v>0</v>
      </c>
      <c r="E62" s="1" t="s">
        <v>6</v>
      </c>
    </row>
    <row r="63" spans="1:5" x14ac:dyDescent="0.3">
      <c r="A63" s="1" t="s">
        <v>56</v>
      </c>
      <c r="B63">
        <v>1450</v>
      </c>
      <c r="C63">
        <v>2021</v>
      </c>
      <c r="D63">
        <v>32528</v>
      </c>
      <c r="E63" s="1" t="s">
        <v>6</v>
      </c>
    </row>
    <row r="64" spans="1:5" x14ac:dyDescent="0.3">
      <c r="A64" s="1" t="s">
        <v>56</v>
      </c>
      <c r="B64">
        <v>1450</v>
      </c>
      <c r="C64">
        <v>2022</v>
      </c>
      <c r="D64">
        <v>12813</v>
      </c>
      <c r="E64" s="1" t="s">
        <v>6</v>
      </c>
    </row>
    <row r="65" spans="1:5" x14ac:dyDescent="0.3">
      <c r="A65" s="1" t="s">
        <v>23</v>
      </c>
      <c r="B65">
        <v>1400</v>
      </c>
      <c r="C65">
        <v>2020</v>
      </c>
      <c r="D65">
        <v>230</v>
      </c>
      <c r="E65" s="1" t="s">
        <v>6</v>
      </c>
    </row>
    <row r="66" spans="1:5" x14ac:dyDescent="0.3">
      <c r="A66" s="1" t="s">
        <v>23</v>
      </c>
      <c r="B66">
        <v>1400</v>
      </c>
      <c r="C66">
        <v>2021</v>
      </c>
      <c r="D66">
        <v>153735</v>
      </c>
      <c r="E66" s="1" t="s">
        <v>6</v>
      </c>
    </row>
    <row r="67" spans="1:5" x14ac:dyDescent="0.3">
      <c r="A67" s="1" t="s">
        <v>23</v>
      </c>
      <c r="B67">
        <v>1400</v>
      </c>
      <c r="C67">
        <v>2022</v>
      </c>
      <c r="D67">
        <v>132813</v>
      </c>
      <c r="E67" s="1" t="s">
        <v>6</v>
      </c>
    </row>
    <row r="68" spans="1:5" x14ac:dyDescent="0.3">
      <c r="A68" s="1" t="s">
        <v>24</v>
      </c>
      <c r="B68">
        <v>1510</v>
      </c>
      <c r="C68">
        <v>2020</v>
      </c>
      <c r="D68">
        <v>0</v>
      </c>
      <c r="E68" s="1" t="s">
        <v>6</v>
      </c>
    </row>
    <row r="69" spans="1:5" x14ac:dyDescent="0.3">
      <c r="A69" s="1" t="s">
        <v>24</v>
      </c>
      <c r="B69">
        <v>1510</v>
      </c>
      <c r="C69">
        <v>2021</v>
      </c>
      <c r="D69">
        <v>0</v>
      </c>
      <c r="E69" s="1" t="s">
        <v>6</v>
      </c>
    </row>
    <row r="70" spans="1:5" x14ac:dyDescent="0.3">
      <c r="A70" s="1" t="s">
        <v>24</v>
      </c>
      <c r="B70">
        <v>1510</v>
      </c>
      <c r="C70">
        <v>2022</v>
      </c>
      <c r="D70">
        <v>0</v>
      </c>
      <c r="E70" s="1" t="s">
        <v>6</v>
      </c>
    </row>
    <row r="71" spans="1:5" x14ac:dyDescent="0.3">
      <c r="A71" s="1" t="s">
        <v>28</v>
      </c>
      <c r="B71">
        <v>1520</v>
      </c>
      <c r="C71">
        <v>2020</v>
      </c>
      <c r="D71">
        <v>31177</v>
      </c>
      <c r="E71" s="1" t="s">
        <v>6</v>
      </c>
    </row>
    <row r="72" spans="1:5" x14ac:dyDescent="0.3">
      <c r="A72" s="1" t="s">
        <v>28</v>
      </c>
      <c r="B72">
        <v>1520</v>
      </c>
      <c r="C72">
        <v>2021</v>
      </c>
      <c r="D72">
        <v>286098</v>
      </c>
      <c r="E72" s="1" t="s">
        <v>6</v>
      </c>
    </row>
    <row r="73" spans="1:5" x14ac:dyDescent="0.3">
      <c r="A73" s="1" t="s">
        <v>28</v>
      </c>
      <c r="B73">
        <v>1520</v>
      </c>
      <c r="C73">
        <v>2022</v>
      </c>
      <c r="D73">
        <v>237311</v>
      </c>
      <c r="E73" s="1" t="s">
        <v>6</v>
      </c>
    </row>
    <row r="74" spans="1:5" x14ac:dyDescent="0.3">
      <c r="A74" s="1" t="s">
        <v>29</v>
      </c>
      <c r="B74">
        <v>1540</v>
      </c>
      <c r="C74">
        <v>2020</v>
      </c>
      <c r="D74">
        <v>29924</v>
      </c>
      <c r="E74" s="1" t="s">
        <v>6</v>
      </c>
    </row>
    <row r="75" spans="1:5" x14ac:dyDescent="0.3">
      <c r="A75" s="1" t="s">
        <v>29</v>
      </c>
      <c r="B75">
        <v>1540</v>
      </c>
      <c r="C75">
        <v>2021</v>
      </c>
      <c r="D75">
        <v>30222</v>
      </c>
      <c r="E75" s="1" t="s">
        <v>6</v>
      </c>
    </row>
    <row r="76" spans="1:5" x14ac:dyDescent="0.3">
      <c r="A76" s="1" t="s">
        <v>29</v>
      </c>
      <c r="B76">
        <v>1540</v>
      </c>
      <c r="C76">
        <v>2022</v>
      </c>
      <c r="D76">
        <v>42185</v>
      </c>
      <c r="E76" s="1" t="s">
        <v>6</v>
      </c>
    </row>
    <row r="77" spans="1:5" x14ac:dyDescent="0.3">
      <c r="A77" s="1" t="s">
        <v>56</v>
      </c>
      <c r="B77">
        <v>1550</v>
      </c>
      <c r="C77">
        <v>2020</v>
      </c>
      <c r="D77">
        <v>20</v>
      </c>
      <c r="E77" s="1" t="s">
        <v>6</v>
      </c>
    </row>
    <row r="78" spans="1:5" x14ac:dyDescent="0.3">
      <c r="A78" s="1" t="s">
        <v>56</v>
      </c>
      <c r="B78">
        <v>1550</v>
      </c>
      <c r="C78">
        <v>2021</v>
      </c>
      <c r="D78">
        <v>16</v>
      </c>
      <c r="E78" s="1" t="s">
        <v>6</v>
      </c>
    </row>
    <row r="79" spans="1:5" x14ac:dyDescent="0.3">
      <c r="A79" s="1" t="s">
        <v>56</v>
      </c>
      <c r="B79">
        <v>1550</v>
      </c>
      <c r="C79">
        <v>2022</v>
      </c>
      <c r="D79">
        <v>9</v>
      </c>
      <c r="E79" s="1" t="s">
        <v>6</v>
      </c>
    </row>
    <row r="80" spans="1:5" x14ac:dyDescent="0.3">
      <c r="A80" s="1" t="s">
        <v>27</v>
      </c>
      <c r="B80">
        <v>1500</v>
      </c>
      <c r="C80">
        <v>2020</v>
      </c>
      <c r="D80">
        <v>61121</v>
      </c>
      <c r="E80" s="1" t="s">
        <v>6</v>
      </c>
    </row>
    <row r="81" spans="1:5" x14ac:dyDescent="0.3">
      <c r="A81" s="1" t="s">
        <v>27</v>
      </c>
      <c r="B81">
        <v>1500</v>
      </c>
      <c r="C81">
        <v>2021</v>
      </c>
      <c r="D81">
        <v>316336</v>
      </c>
      <c r="E81" s="1" t="s">
        <v>6</v>
      </c>
    </row>
    <row r="82" spans="1:5" x14ac:dyDescent="0.3">
      <c r="A82" s="1" t="s">
        <v>27</v>
      </c>
      <c r="B82">
        <v>1500</v>
      </c>
      <c r="C82">
        <v>2022</v>
      </c>
      <c r="D82">
        <v>279505</v>
      </c>
      <c r="E82" s="1" t="s">
        <v>6</v>
      </c>
    </row>
    <row r="83" spans="1:5" x14ac:dyDescent="0.3">
      <c r="A83" s="1" t="s">
        <v>58</v>
      </c>
      <c r="B83">
        <v>1700</v>
      </c>
      <c r="C83">
        <v>2020</v>
      </c>
      <c r="D83">
        <v>3018985</v>
      </c>
      <c r="E83" s="1" t="s">
        <v>6</v>
      </c>
    </row>
    <row r="84" spans="1:5" x14ac:dyDescent="0.3">
      <c r="A84" s="1" t="s">
        <v>58</v>
      </c>
      <c r="B84">
        <v>1700</v>
      </c>
      <c r="C84">
        <v>2021</v>
      </c>
      <c r="D84">
        <v>4445733</v>
      </c>
      <c r="E84" s="1" t="s">
        <v>6</v>
      </c>
    </row>
    <row r="85" spans="1:5" x14ac:dyDescent="0.3">
      <c r="A85" s="1" t="s">
        <v>58</v>
      </c>
      <c r="B85">
        <v>1700</v>
      </c>
      <c r="C85">
        <v>2022</v>
      </c>
      <c r="D85">
        <v>3969858</v>
      </c>
      <c r="E85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workbookViewId="0"/>
  </sheetViews>
  <sheetFormatPr defaultRowHeight="14.4" x14ac:dyDescent="0.3"/>
  <cols>
    <col min="1" max="1" width="38" customWidth="1"/>
    <col min="2" max="2" width="11.33203125" customWidth="1"/>
    <col min="3" max="3" width="6.88671875" customWidth="1"/>
    <col min="4" max="4" width="8.6640625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34</v>
      </c>
      <c r="B2">
        <v>2110</v>
      </c>
      <c r="C2">
        <v>2024</v>
      </c>
      <c r="D2">
        <v>3520647</v>
      </c>
      <c r="E2" t="s">
        <v>33</v>
      </c>
    </row>
    <row r="3" spans="1:5" x14ac:dyDescent="0.3">
      <c r="A3" s="1" t="s">
        <v>34</v>
      </c>
      <c r="B3">
        <v>2110</v>
      </c>
      <c r="C3">
        <v>2025</v>
      </c>
      <c r="D3">
        <v>3589154</v>
      </c>
      <c r="E3" t="s">
        <v>33</v>
      </c>
    </row>
    <row r="4" spans="1:5" x14ac:dyDescent="0.3">
      <c r="A4" s="1" t="s">
        <v>35</v>
      </c>
      <c r="B4">
        <v>2120</v>
      </c>
      <c r="C4">
        <v>2024</v>
      </c>
      <c r="D4">
        <v>-277604</v>
      </c>
      <c r="E4" t="s">
        <v>33</v>
      </c>
    </row>
    <row r="5" spans="1:5" x14ac:dyDescent="0.3">
      <c r="A5" s="1" t="s">
        <v>35</v>
      </c>
      <c r="B5">
        <v>2120</v>
      </c>
      <c r="C5">
        <v>2025</v>
      </c>
      <c r="D5">
        <v>-2038969</v>
      </c>
      <c r="E5" t="s">
        <v>33</v>
      </c>
    </row>
    <row r="6" spans="1:5" x14ac:dyDescent="0.3">
      <c r="A6" s="1" t="s">
        <v>32</v>
      </c>
      <c r="B6">
        <v>2100</v>
      </c>
      <c r="C6">
        <v>2024</v>
      </c>
      <c r="D6">
        <v>3243043</v>
      </c>
      <c r="E6" t="s">
        <v>33</v>
      </c>
    </row>
    <row r="7" spans="1:5" x14ac:dyDescent="0.3">
      <c r="A7" s="1" t="s">
        <v>32</v>
      </c>
      <c r="B7">
        <v>2100</v>
      </c>
      <c r="C7">
        <v>2025</v>
      </c>
      <c r="D7">
        <v>1550185</v>
      </c>
      <c r="E7" t="s">
        <v>33</v>
      </c>
    </row>
    <row r="8" spans="1:5" x14ac:dyDescent="0.3">
      <c r="A8" s="1" t="s">
        <v>37</v>
      </c>
      <c r="B8">
        <v>2210</v>
      </c>
      <c r="C8">
        <v>2024</v>
      </c>
      <c r="D8">
        <v>-3</v>
      </c>
      <c r="E8" t="s">
        <v>33</v>
      </c>
    </row>
    <row r="9" spans="1:5" x14ac:dyDescent="0.3">
      <c r="A9" s="1" t="s">
        <v>37</v>
      </c>
      <c r="B9">
        <v>2210</v>
      </c>
      <c r="C9">
        <v>2025</v>
      </c>
      <c r="D9">
        <v>-7</v>
      </c>
      <c r="E9" t="s">
        <v>33</v>
      </c>
    </row>
    <row r="10" spans="1:5" x14ac:dyDescent="0.3">
      <c r="A10" s="1" t="s">
        <v>38</v>
      </c>
      <c r="B10">
        <v>2220</v>
      </c>
      <c r="C10">
        <v>2024</v>
      </c>
      <c r="D10">
        <v>-2417247</v>
      </c>
      <c r="E10" t="s">
        <v>33</v>
      </c>
    </row>
    <row r="11" spans="1:5" x14ac:dyDescent="0.3">
      <c r="A11" s="1" t="s">
        <v>38</v>
      </c>
      <c r="B11">
        <v>2220</v>
      </c>
      <c r="C11">
        <v>2025</v>
      </c>
      <c r="D11">
        <v>-958534</v>
      </c>
      <c r="E11" t="s">
        <v>33</v>
      </c>
    </row>
    <row r="12" spans="1:5" x14ac:dyDescent="0.3">
      <c r="A12" s="1" t="s">
        <v>36</v>
      </c>
      <c r="B12">
        <v>2200</v>
      </c>
      <c r="C12">
        <v>2024</v>
      </c>
      <c r="D12">
        <v>825793</v>
      </c>
      <c r="E12" t="s">
        <v>33</v>
      </c>
    </row>
    <row r="13" spans="1:5" x14ac:dyDescent="0.3">
      <c r="A13" s="1" t="s">
        <v>36</v>
      </c>
      <c r="B13">
        <v>2200</v>
      </c>
      <c r="C13">
        <v>2025</v>
      </c>
      <c r="D13">
        <v>591644</v>
      </c>
      <c r="E13" t="s">
        <v>33</v>
      </c>
    </row>
    <row r="14" spans="1:5" x14ac:dyDescent="0.3">
      <c r="A14" s="1" t="s">
        <v>40</v>
      </c>
      <c r="B14">
        <v>2310</v>
      </c>
      <c r="C14">
        <v>2024</v>
      </c>
      <c r="D14">
        <v>0</v>
      </c>
      <c r="E14" t="s">
        <v>33</v>
      </c>
    </row>
    <row r="15" spans="1:5" x14ac:dyDescent="0.3">
      <c r="A15" s="1" t="s">
        <v>40</v>
      </c>
      <c r="B15">
        <v>2310</v>
      </c>
      <c r="C15">
        <v>2025</v>
      </c>
      <c r="D15">
        <v>25513</v>
      </c>
      <c r="E15" t="s">
        <v>33</v>
      </c>
    </row>
    <row r="16" spans="1:5" x14ac:dyDescent="0.3">
      <c r="A16" s="1" t="s">
        <v>41</v>
      </c>
      <c r="B16">
        <v>2320</v>
      </c>
      <c r="C16">
        <v>2024</v>
      </c>
      <c r="D16">
        <v>7359</v>
      </c>
      <c r="E16" t="s">
        <v>33</v>
      </c>
    </row>
    <row r="17" spans="1:5" x14ac:dyDescent="0.3">
      <c r="A17" s="1" t="s">
        <v>41</v>
      </c>
      <c r="B17">
        <v>2320</v>
      </c>
      <c r="C17">
        <v>2025</v>
      </c>
      <c r="D17">
        <v>18760</v>
      </c>
      <c r="E17" t="s">
        <v>33</v>
      </c>
    </row>
    <row r="18" spans="1:5" x14ac:dyDescent="0.3">
      <c r="A18" s="1" t="s">
        <v>42</v>
      </c>
      <c r="B18">
        <v>2330</v>
      </c>
      <c r="C18">
        <v>2024</v>
      </c>
      <c r="D18">
        <v>-5220</v>
      </c>
      <c r="E18" t="s">
        <v>33</v>
      </c>
    </row>
    <row r="19" spans="1:5" x14ac:dyDescent="0.3">
      <c r="A19" s="1" t="s">
        <v>42</v>
      </c>
      <c r="B19">
        <v>2330</v>
      </c>
      <c r="C19">
        <v>2025</v>
      </c>
      <c r="D19">
        <v>-6229</v>
      </c>
      <c r="E19" t="s">
        <v>33</v>
      </c>
    </row>
    <row r="20" spans="1:5" x14ac:dyDescent="0.3">
      <c r="A20" s="1" t="s">
        <v>43</v>
      </c>
      <c r="B20">
        <v>2340</v>
      </c>
      <c r="C20">
        <v>2024</v>
      </c>
      <c r="D20">
        <v>2653168</v>
      </c>
      <c r="E20" t="s">
        <v>33</v>
      </c>
    </row>
    <row r="21" spans="1:5" x14ac:dyDescent="0.3">
      <c r="A21" s="1" t="s">
        <v>43</v>
      </c>
      <c r="B21">
        <v>2340</v>
      </c>
      <c r="C21">
        <v>2025</v>
      </c>
      <c r="D21">
        <v>9156</v>
      </c>
      <c r="E21" t="s">
        <v>33</v>
      </c>
    </row>
    <row r="22" spans="1:5" x14ac:dyDescent="0.3">
      <c r="A22" s="1" t="s">
        <v>44</v>
      </c>
      <c r="B22">
        <v>2350</v>
      </c>
      <c r="C22">
        <v>2024</v>
      </c>
      <c r="D22">
        <v>-3471482</v>
      </c>
      <c r="E22" t="s">
        <v>33</v>
      </c>
    </row>
    <row r="23" spans="1:5" x14ac:dyDescent="0.3">
      <c r="A23" s="1" t="s">
        <v>44</v>
      </c>
      <c r="B23">
        <v>2350</v>
      </c>
      <c r="C23">
        <v>2025</v>
      </c>
      <c r="D23">
        <v>-391804</v>
      </c>
      <c r="E23" t="s">
        <v>33</v>
      </c>
    </row>
    <row r="24" spans="1:5" x14ac:dyDescent="0.3">
      <c r="A24" s="1" t="s">
        <v>39</v>
      </c>
      <c r="B24">
        <v>2300</v>
      </c>
      <c r="C24">
        <v>2024</v>
      </c>
      <c r="D24">
        <v>9618</v>
      </c>
      <c r="E24" t="s">
        <v>33</v>
      </c>
    </row>
    <row r="25" spans="1:5" x14ac:dyDescent="0.3">
      <c r="A25" s="1" t="s">
        <v>39</v>
      </c>
      <c r="B25">
        <v>2300</v>
      </c>
      <c r="C25">
        <v>2025</v>
      </c>
      <c r="D25">
        <v>247040</v>
      </c>
      <c r="E25" t="s">
        <v>33</v>
      </c>
    </row>
    <row r="26" spans="1:5" x14ac:dyDescent="0.3">
      <c r="A26" s="1" t="s">
        <v>46</v>
      </c>
      <c r="B26">
        <v>2410</v>
      </c>
      <c r="C26">
        <v>2024</v>
      </c>
      <c r="D26">
        <v>-169191</v>
      </c>
      <c r="E26" t="s">
        <v>33</v>
      </c>
    </row>
    <row r="27" spans="1:5" x14ac:dyDescent="0.3">
      <c r="A27" s="1" t="s">
        <v>46</v>
      </c>
      <c r="B27">
        <v>2410</v>
      </c>
      <c r="C27">
        <v>2025</v>
      </c>
      <c r="D27">
        <v>-158121</v>
      </c>
      <c r="E27" t="s">
        <v>33</v>
      </c>
    </row>
    <row r="28" spans="1:5" x14ac:dyDescent="0.3">
      <c r="A28" s="1" t="s">
        <v>47</v>
      </c>
      <c r="B28">
        <v>2411</v>
      </c>
      <c r="C28">
        <v>2024</v>
      </c>
      <c r="D28">
        <v>-182255</v>
      </c>
      <c r="E28" t="s">
        <v>33</v>
      </c>
    </row>
    <row r="29" spans="1:5" x14ac:dyDescent="0.3">
      <c r="A29" s="1" t="s">
        <v>47</v>
      </c>
      <c r="B29">
        <v>2411</v>
      </c>
      <c r="C29">
        <v>2025</v>
      </c>
      <c r="D29">
        <v>-160411</v>
      </c>
      <c r="E29" t="s">
        <v>33</v>
      </c>
    </row>
    <row r="30" spans="1:5" x14ac:dyDescent="0.3">
      <c r="A30" s="1" t="s">
        <v>48</v>
      </c>
      <c r="B30">
        <v>2412</v>
      </c>
      <c r="C30">
        <v>2024</v>
      </c>
      <c r="D30">
        <v>13064</v>
      </c>
      <c r="E30" t="s">
        <v>33</v>
      </c>
    </row>
    <row r="31" spans="1:5" x14ac:dyDescent="0.3">
      <c r="A31" s="1" t="s">
        <v>48</v>
      </c>
      <c r="B31">
        <v>2412</v>
      </c>
      <c r="C31">
        <v>2025</v>
      </c>
      <c r="D31">
        <v>2290</v>
      </c>
      <c r="E31" t="s">
        <v>33</v>
      </c>
    </row>
    <row r="32" spans="1:5" x14ac:dyDescent="0.3">
      <c r="A32" s="1" t="s">
        <v>49</v>
      </c>
      <c r="B32">
        <v>2460</v>
      </c>
      <c r="C32">
        <v>2024</v>
      </c>
      <c r="D32">
        <v>4170</v>
      </c>
      <c r="E32" t="s">
        <v>33</v>
      </c>
    </row>
    <row r="33" spans="1:5" x14ac:dyDescent="0.3">
      <c r="A33" s="1" t="s">
        <v>49</v>
      </c>
      <c r="B33">
        <v>2460</v>
      </c>
      <c r="C33">
        <v>2025</v>
      </c>
      <c r="D33">
        <v>-464411</v>
      </c>
      <c r="E33" t="s">
        <v>33</v>
      </c>
    </row>
    <row r="34" spans="1:5" x14ac:dyDescent="0.3">
      <c r="A34" s="1" t="s">
        <v>45</v>
      </c>
      <c r="B34">
        <v>2400</v>
      </c>
      <c r="C34">
        <v>2024</v>
      </c>
      <c r="D34">
        <v>-155403</v>
      </c>
      <c r="E34" t="s">
        <v>33</v>
      </c>
    </row>
    <row r="35" spans="1:5" x14ac:dyDescent="0.3">
      <c r="A35" s="1" t="s">
        <v>45</v>
      </c>
      <c r="B35">
        <v>2400</v>
      </c>
      <c r="C35">
        <v>2025</v>
      </c>
      <c r="D35">
        <v>-375492</v>
      </c>
      <c r="E35" t="s">
        <v>33</v>
      </c>
    </row>
    <row r="36" spans="1:5" x14ac:dyDescent="0.3">
      <c r="A36" s="1" t="s">
        <v>50</v>
      </c>
      <c r="B36">
        <v>2500</v>
      </c>
      <c r="C36">
        <v>2024</v>
      </c>
      <c r="D36">
        <v>-155403</v>
      </c>
      <c r="E36" t="s">
        <v>33</v>
      </c>
    </row>
    <row r="37" spans="1:5" x14ac:dyDescent="0.3">
      <c r="A37" s="1" t="s">
        <v>50</v>
      </c>
      <c r="B37">
        <v>2500</v>
      </c>
      <c r="C37">
        <v>2025</v>
      </c>
      <c r="D37">
        <v>-375492</v>
      </c>
      <c r="E37" t="s">
        <v>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workbookViewId="0"/>
  </sheetViews>
  <sheetFormatPr defaultRowHeight="14.4" x14ac:dyDescent="0.3"/>
  <cols>
    <col min="1" max="1" width="38" customWidth="1"/>
    <col min="2" max="2" width="11.33203125" customWidth="1"/>
    <col min="3" max="3" width="6.88671875" customWidth="1"/>
    <col min="4" max="4" width="8.6640625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34</v>
      </c>
      <c r="B2">
        <v>2110</v>
      </c>
      <c r="C2">
        <v>2022</v>
      </c>
      <c r="D2">
        <v>2541046</v>
      </c>
      <c r="E2" t="s">
        <v>33</v>
      </c>
    </row>
    <row r="3" spans="1:5" x14ac:dyDescent="0.3">
      <c r="A3" s="1" t="s">
        <v>34</v>
      </c>
      <c r="B3">
        <v>2110</v>
      </c>
      <c r="C3">
        <v>2023</v>
      </c>
      <c r="D3">
        <v>3123853</v>
      </c>
      <c r="E3" t="s">
        <v>33</v>
      </c>
    </row>
    <row r="4" spans="1:5" x14ac:dyDescent="0.3">
      <c r="A4" s="1" t="s">
        <v>35</v>
      </c>
      <c r="B4">
        <v>2120</v>
      </c>
      <c r="C4">
        <v>2022</v>
      </c>
      <c r="D4">
        <v>-521123</v>
      </c>
      <c r="E4" t="s">
        <v>33</v>
      </c>
    </row>
    <row r="5" spans="1:5" x14ac:dyDescent="0.3">
      <c r="A5" s="1" t="s">
        <v>35</v>
      </c>
      <c r="B5">
        <v>2120</v>
      </c>
      <c r="C5">
        <v>2023</v>
      </c>
      <c r="D5">
        <v>-260366</v>
      </c>
      <c r="E5" t="s">
        <v>33</v>
      </c>
    </row>
    <row r="6" spans="1:5" x14ac:dyDescent="0.3">
      <c r="A6" s="1" t="s">
        <v>32</v>
      </c>
      <c r="B6">
        <v>2100</v>
      </c>
      <c r="C6">
        <v>2022</v>
      </c>
      <c r="D6">
        <v>2019923</v>
      </c>
      <c r="E6" t="s">
        <v>33</v>
      </c>
    </row>
    <row r="7" spans="1:5" x14ac:dyDescent="0.3">
      <c r="A7" s="1" t="s">
        <v>32</v>
      </c>
      <c r="B7">
        <v>2100</v>
      </c>
      <c r="C7">
        <v>2023</v>
      </c>
      <c r="D7">
        <v>2863487</v>
      </c>
      <c r="E7" t="s">
        <v>33</v>
      </c>
    </row>
    <row r="8" spans="1:5" x14ac:dyDescent="0.3">
      <c r="A8" s="1" t="s">
        <v>37</v>
      </c>
      <c r="B8">
        <v>2210</v>
      </c>
      <c r="C8">
        <v>2022</v>
      </c>
      <c r="D8">
        <v>-5</v>
      </c>
      <c r="E8" t="s">
        <v>33</v>
      </c>
    </row>
    <row r="9" spans="1:5" x14ac:dyDescent="0.3">
      <c r="A9" s="1" t="s">
        <v>37</v>
      </c>
      <c r="B9">
        <v>2210</v>
      </c>
      <c r="C9">
        <v>2023</v>
      </c>
      <c r="D9">
        <v>-6</v>
      </c>
      <c r="E9" t="s">
        <v>33</v>
      </c>
    </row>
    <row r="10" spans="1:5" x14ac:dyDescent="0.3">
      <c r="A10" s="1" t="s">
        <v>38</v>
      </c>
      <c r="B10">
        <v>2220</v>
      </c>
      <c r="C10">
        <v>2022</v>
      </c>
      <c r="D10">
        <v>-1248923</v>
      </c>
      <c r="E10" t="s">
        <v>33</v>
      </c>
    </row>
    <row r="11" spans="1:5" x14ac:dyDescent="0.3">
      <c r="A11" s="1" t="s">
        <v>38</v>
      </c>
      <c r="B11">
        <v>2220</v>
      </c>
      <c r="C11">
        <v>2023</v>
      </c>
      <c r="D11">
        <v>-2126791</v>
      </c>
      <c r="E11" t="s">
        <v>33</v>
      </c>
    </row>
    <row r="12" spans="1:5" x14ac:dyDescent="0.3">
      <c r="A12" s="1" t="s">
        <v>36</v>
      </c>
      <c r="B12">
        <v>2200</v>
      </c>
      <c r="C12">
        <v>2022</v>
      </c>
      <c r="D12">
        <v>770995</v>
      </c>
      <c r="E12" t="s">
        <v>33</v>
      </c>
    </row>
    <row r="13" spans="1:5" x14ac:dyDescent="0.3">
      <c r="A13" s="1" t="s">
        <v>36</v>
      </c>
      <c r="B13">
        <v>2200</v>
      </c>
      <c r="C13">
        <v>2023</v>
      </c>
      <c r="D13">
        <v>736690</v>
      </c>
      <c r="E13" t="s">
        <v>33</v>
      </c>
    </row>
    <row r="14" spans="1:5" x14ac:dyDescent="0.3">
      <c r="A14" s="1" t="s">
        <v>40</v>
      </c>
      <c r="B14">
        <v>2310</v>
      </c>
      <c r="C14">
        <v>2022</v>
      </c>
      <c r="D14">
        <v>33</v>
      </c>
      <c r="E14" t="s">
        <v>33</v>
      </c>
    </row>
    <row r="15" spans="1:5" x14ac:dyDescent="0.3">
      <c r="A15" s="1" t="s">
        <v>40</v>
      </c>
      <c r="B15">
        <v>2310</v>
      </c>
      <c r="C15">
        <v>2023</v>
      </c>
      <c r="D15">
        <v>9006</v>
      </c>
      <c r="E15" t="s">
        <v>33</v>
      </c>
    </row>
    <row r="16" spans="1:5" x14ac:dyDescent="0.3">
      <c r="A16" s="1" t="s">
        <v>41</v>
      </c>
      <c r="B16">
        <v>2320</v>
      </c>
      <c r="C16">
        <v>2022</v>
      </c>
      <c r="D16">
        <v>4653</v>
      </c>
      <c r="E16" t="s">
        <v>33</v>
      </c>
    </row>
    <row r="17" spans="1:5" x14ac:dyDescent="0.3">
      <c r="A17" s="1" t="s">
        <v>41</v>
      </c>
      <c r="B17">
        <v>2320</v>
      </c>
      <c r="C17">
        <v>2023</v>
      </c>
      <c r="D17">
        <v>9742</v>
      </c>
      <c r="E17" t="s">
        <v>33</v>
      </c>
    </row>
    <row r="18" spans="1:5" x14ac:dyDescent="0.3">
      <c r="A18" s="1" t="s">
        <v>42</v>
      </c>
      <c r="B18">
        <v>2330</v>
      </c>
      <c r="C18">
        <v>2022</v>
      </c>
      <c r="D18">
        <v>-3901</v>
      </c>
      <c r="E18" t="s">
        <v>33</v>
      </c>
    </row>
    <row r="19" spans="1:5" x14ac:dyDescent="0.3">
      <c r="A19" s="1" t="s">
        <v>42</v>
      </c>
      <c r="B19">
        <v>2330</v>
      </c>
      <c r="C19">
        <v>2023</v>
      </c>
      <c r="D19">
        <v>-1776</v>
      </c>
      <c r="E19" t="s">
        <v>33</v>
      </c>
    </row>
    <row r="20" spans="1:5" x14ac:dyDescent="0.3">
      <c r="A20" s="1" t="s">
        <v>43</v>
      </c>
      <c r="B20">
        <v>2340</v>
      </c>
      <c r="C20">
        <v>2022</v>
      </c>
      <c r="D20">
        <v>2414479</v>
      </c>
      <c r="E20" t="s">
        <v>33</v>
      </c>
    </row>
    <row r="21" spans="1:5" x14ac:dyDescent="0.3">
      <c r="A21" s="1" t="s">
        <v>43</v>
      </c>
      <c r="B21">
        <v>2340</v>
      </c>
      <c r="C21">
        <v>2023</v>
      </c>
      <c r="D21">
        <v>1779710</v>
      </c>
      <c r="E21" t="s">
        <v>33</v>
      </c>
    </row>
    <row r="22" spans="1:5" x14ac:dyDescent="0.3">
      <c r="A22" s="1" t="s">
        <v>44</v>
      </c>
      <c r="B22">
        <v>2350</v>
      </c>
      <c r="C22">
        <v>2022</v>
      </c>
      <c r="D22">
        <v>-3059357</v>
      </c>
      <c r="E22" t="s">
        <v>33</v>
      </c>
    </row>
    <row r="23" spans="1:5" x14ac:dyDescent="0.3">
      <c r="A23" s="1" t="s">
        <v>44</v>
      </c>
      <c r="B23">
        <v>2350</v>
      </c>
      <c r="C23">
        <v>2023</v>
      </c>
      <c r="D23">
        <v>-1595352</v>
      </c>
      <c r="E23" t="s">
        <v>33</v>
      </c>
    </row>
    <row r="24" spans="1:5" x14ac:dyDescent="0.3">
      <c r="A24" s="1" t="s">
        <v>39</v>
      </c>
      <c r="B24">
        <v>2300</v>
      </c>
      <c r="C24">
        <v>2022</v>
      </c>
      <c r="D24">
        <v>126902</v>
      </c>
      <c r="E24" t="s">
        <v>33</v>
      </c>
    </row>
    <row r="25" spans="1:5" x14ac:dyDescent="0.3">
      <c r="A25" s="1" t="s">
        <v>39</v>
      </c>
      <c r="B25">
        <v>2300</v>
      </c>
      <c r="C25">
        <v>2023</v>
      </c>
      <c r="D25">
        <v>938020</v>
      </c>
      <c r="E25" t="s">
        <v>33</v>
      </c>
    </row>
    <row r="26" spans="1:5" x14ac:dyDescent="0.3">
      <c r="A26" s="1" t="s">
        <v>46</v>
      </c>
      <c r="B26">
        <v>2410</v>
      </c>
      <c r="C26">
        <v>2022</v>
      </c>
      <c r="D26">
        <v>-2163</v>
      </c>
      <c r="E26" t="s">
        <v>33</v>
      </c>
    </row>
    <row r="27" spans="1:5" x14ac:dyDescent="0.3">
      <c r="A27" s="1" t="s">
        <v>46</v>
      </c>
      <c r="B27">
        <v>2410</v>
      </c>
      <c r="C27">
        <v>2023</v>
      </c>
      <c r="D27">
        <v>-175824</v>
      </c>
      <c r="E27" t="s">
        <v>33</v>
      </c>
    </row>
    <row r="28" spans="1:5" x14ac:dyDescent="0.3">
      <c r="A28" s="1" t="s">
        <v>47</v>
      </c>
      <c r="B28">
        <v>2411</v>
      </c>
      <c r="C28">
        <v>2022</v>
      </c>
      <c r="D28">
        <v>0</v>
      </c>
      <c r="E28" t="s">
        <v>33</v>
      </c>
    </row>
    <row r="29" spans="1:5" x14ac:dyDescent="0.3">
      <c r="A29" s="1" t="s">
        <v>47</v>
      </c>
      <c r="B29">
        <v>2411</v>
      </c>
      <c r="C29">
        <v>2023</v>
      </c>
      <c r="D29">
        <v>-179606</v>
      </c>
      <c r="E29" t="s">
        <v>33</v>
      </c>
    </row>
    <row r="30" spans="1:5" x14ac:dyDescent="0.3">
      <c r="A30" s="1" t="s">
        <v>48</v>
      </c>
      <c r="B30">
        <v>2412</v>
      </c>
      <c r="C30">
        <v>2022</v>
      </c>
      <c r="D30">
        <v>-2163</v>
      </c>
      <c r="E30" t="s">
        <v>33</v>
      </c>
    </row>
    <row r="31" spans="1:5" x14ac:dyDescent="0.3">
      <c r="A31" s="1" t="s">
        <v>48</v>
      </c>
      <c r="B31">
        <v>2412</v>
      </c>
      <c r="C31">
        <v>2023</v>
      </c>
      <c r="D31">
        <v>3782</v>
      </c>
      <c r="E31" t="s">
        <v>33</v>
      </c>
    </row>
    <row r="32" spans="1:5" x14ac:dyDescent="0.3">
      <c r="A32" s="1" t="s">
        <v>49</v>
      </c>
      <c r="B32">
        <v>2460</v>
      </c>
      <c r="C32">
        <v>2022</v>
      </c>
      <c r="D32">
        <v>-552726</v>
      </c>
      <c r="E32" t="s">
        <v>33</v>
      </c>
    </row>
    <row r="33" spans="1:5" x14ac:dyDescent="0.3">
      <c r="A33" s="1" t="s">
        <v>49</v>
      </c>
      <c r="B33">
        <v>2460</v>
      </c>
      <c r="C33">
        <v>2023</v>
      </c>
      <c r="D33">
        <v>0</v>
      </c>
      <c r="E33" t="s">
        <v>33</v>
      </c>
    </row>
    <row r="34" spans="1:5" x14ac:dyDescent="0.3">
      <c r="A34" s="1" t="s">
        <v>45</v>
      </c>
      <c r="B34">
        <v>2400</v>
      </c>
      <c r="C34">
        <v>2022</v>
      </c>
      <c r="D34">
        <v>-427987</v>
      </c>
      <c r="E34" t="s">
        <v>33</v>
      </c>
    </row>
    <row r="35" spans="1:5" x14ac:dyDescent="0.3">
      <c r="A35" s="1" t="s">
        <v>45</v>
      </c>
      <c r="B35">
        <v>2400</v>
      </c>
      <c r="C35">
        <v>2023</v>
      </c>
      <c r="D35">
        <v>762196</v>
      </c>
      <c r="E35" t="s">
        <v>33</v>
      </c>
    </row>
    <row r="36" spans="1:5" x14ac:dyDescent="0.3">
      <c r="A36" s="1" t="s">
        <v>50</v>
      </c>
      <c r="B36">
        <v>2500</v>
      </c>
      <c r="C36">
        <v>2022</v>
      </c>
      <c r="D36">
        <v>-427987</v>
      </c>
      <c r="E36" t="s">
        <v>33</v>
      </c>
    </row>
    <row r="37" spans="1:5" x14ac:dyDescent="0.3">
      <c r="A37" s="1" t="s">
        <v>50</v>
      </c>
      <c r="B37">
        <v>2500</v>
      </c>
      <c r="C37">
        <v>2023</v>
      </c>
      <c r="D37">
        <v>762196</v>
      </c>
      <c r="E37" t="s">
        <v>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workbookViewId="0"/>
  </sheetViews>
  <sheetFormatPr defaultRowHeight="14.4" x14ac:dyDescent="0.3"/>
  <cols>
    <col min="1" max="1" width="38" customWidth="1"/>
    <col min="2" max="2" width="11.33203125" customWidth="1"/>
    <col min="3" max="3" width="6.88671875" customWidth="1"/>
    <col min="4" max="4" width="8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34</v>
      </c>
      <c r="B2">
        <v>2110</v>
      </c>
      <c r="C2">
        <v>2020</v>
      </c>
      <c r="D2">
        <v>2536151</v>
      </c>
      <c r="E2" t="s">
        <v>33</v>
      </c>
    </row>
    <row r="3" spans="1:5" x14ac:dyDescent="0.3">
      <c r="A3" s="1" t="s">
        <v>34</v>
      </c>
      <c r="B3">
        <v>2110</v>
      </c>
      <c r="C3">
        <v>2021</v>
      </c>
      <c r="D3">
        <v>2532640</v>
      </c>
      <c r="E3" t="s">
        <v>33</v>
      </c>
    </row>
    <row r="4" spans="1:5" x14ac:dyDescent="0.3">
      <c r="A4" s="1" t="s">
        <v>35</v>
      </c>
      <c r="B4">
        <v>2120</v>
      </c>
      <c r="C4">
        <v>2020</v>
      </c>
      <c r="D4">
        <v>-794444</v>
      </c>
      <c r="E4" t="s">
        <v>33</v>
      </c>
    </row>
    <row r="5" spans="1:5" x14ac:dyDescent="0.3">
      <c r="A5" s="1" t="s">
        <v>35</v>
      </c>
      <c r="B5">
        <v>2120</v>
      </c>
      <c r="C5">
        <v>2021</v>
      </c>
      <c r="D5">
        <v>-650710</v>
      </c>
      <c r="E5" t="s">
        <v>33</v>
      </c>
    </row>
    <row r="6" spans="1:5" x14ac:dyDescent="0.3">
      <c r="A6" s="1" t="s">
        <v>32</v>
      </c>
      <c r="B6">
        <v>2100</v>
      </c>
      <c r="C6">
        <v>2020</v>
      </c>
      <c r="D6">
        <v>1741707</v>
      </c>
      <c r="E6" t="s">
        <v>33</v>
      </c>
    </row>
    <row r="7" spans="1:5" x14ac:dyDescent="0.3">
      <c r="A7" s="1" t="s">
        <v>32</v>
      </c>
      <c r="B7">
        <v>2100</v>
      </c>
      <c r="C7">
        <v>2021</v>
      </c>
      <c r="D7">
        <v>1881930</v>
      </c>
      <c r="E7" t="s">
        <v>33</v>
      </c>
    </row>
    <row r="8" spans="1:5" x14ac:dyDescent="0.3">
      <c r="A8" s="1" t="s">
        <v>37</v>
      </c>
      <c r="B8">
        <v>2210</v>
      </c>
      <c r="C8">
        <v>2020</v>
      </c>
      <c r="D8">
        <v>-124</v>
      </c>
      <c r="E8" t="s">
        <v>33</v>
      </c>
    </row>
    <row r="9" spans="1:5" x14ac:dyDescent="0.3">
      <c r="A9" s="1" t="s">
        <v>37</v>
      </c>
      <c r="B9">
        <v>2210</v>
      </c>
      <c r="C9">
        <v>2021</v>
      </c>
      <c r="D9">
        <v>-9</v>
      </c>
      <c r="E9" t="s">
        <v>33</v>
      </c>
    </row>
    <row r="10" spans="1:5" x14ac:dyDescent="0.3">
      <c r="A10" s="1" t="s">
        <v>38</v>
      </c>
      <c r="B10">
        <v>2220</v>
      </c>
      <c r="C10">
        <v>2020</v>
      </c>
      <c r="D10">
        <v>-678736</v>
      </c>
      <c r="E10" t="s">
        <v>33</v>
      </c>
    </row>
    <row r="11" spans="1:5" x14ac:dyDescent="0.3">
      <c r="A11" s="1" t="s">
        <v>38</v>
      </c>
      <c r="B11">
        <v>2220</v>
      </c>
      <c r="C11">
        <v>2021</v>
      </c>
      <c r="D11">
        <v>-904581</v>
      </c>
      <c r="E11" t="s">
        <v>33</v>
      </c>
    </row>
    <row r="12" spans="1:5" x14ac:dyDescent="0.3">
      <c r="A12" s="1" t="s">
        <v>36</v>
      </c>
      <c r="B12">
        <v>2200</v>
      </c>
      <c r="C12">
        <v>2020</v>
      </c>
      <c r="D12">
        <v>1062847</v>
      </c>
      <c r="E12" t="s">
        <v>33</v>
      </c>
    </row>
    <row r="13" spans="1:5" x14ac:dyDescent="0.3">
      <c r="A13" s="1" t="s">
        <v>36</v>
      </c>
      <c r="B13">
        <v>2200</v>
      </c>
      <c r="C13">
        <v>2021</v>
      </c>
      <c r="D13">
        <v>977340</v>
      </c>
      <c r="E13" t="s">
        <v>33</v>
      </c>
    </row>
    <row r="14" spans="1:5" x14ac:dyDescent="0.3">
      <c r="A14" s="1" t="s">
        <v>40</v>
      </c>
      <c r="B14">
        <v>2310</v>
      </c>
      <c r="C14">
        <v>2020</v>
      </c>
      <c r="D14">
        <v>0</v>
      </c>
      <c r="E14" t="s">
        <v>33</v>
      </c>
    </row>
    <row r="15" spans="1:5" x14ac:dyDescent="0.3">
      <c r="A15" s="1" t="s">
        <v>40</v>
      </c>
      <c r="B15">
        <v>2310</v>
      </c>
      <c r="C15">
        <v>2021</v>
      </c>
      <c r="D15">
        <v>107632</v>
      </c>
      <c r="E15" t="s">
        <v>33</v>
      </c>
    </row>
    <row r="16" spans="1:5" x14ac:dyDescent="0.3">
      <c r="A16" s="1" t="s">
        <v>41</v>
      </c>
      <c r="B16">
        <v>2320</v>
      </c>
      <c r="C16">
        <v>2020</v>
      </c>
      <c r="D16">
        <v>8669</v>
      </c>
      <c r="E16" t="s">
        <v>33</v>
      </c>
    </row>
    <row r="17" spans="1:5" x14ac:dyDescent="0.3">
      <c r="A17" s="1" t="s">
        <v>41</v>
      </c>
      <c r="B17">
        <v>2320</v>
      </c>
      <c r="C17">
        <v>2021</v>
      </c>
      <c r="D17">
        <v>4869</v>
      </c>
      <c r="E17" t="s">
        <v>33</v>
      </c>
    </row>
    <row r="18" spans="1:5" x14ac:dyDescent="0.3">
      <c r="A18" s="1" t="s">
        <v>42</v>
      </c>
      <c r="B18">
        <v>2330</v>
      </c>
      <c r="C18">
        <v>2020</v>
      </c>
      <c r="D18">
        <v>0</v>
      </c>
      <c r="E18" t="s">
        <v>33</v>
      </c>
    </row>
    <row r="19" spans="1:5" x14ac:dyDescent="0.3">
      <c r="A19" s="1" t="s">
        <v>42</v>
      </c>
      <c r="B19">
        <v>2330</v>
      </c>
      <c r="C19">
        <v>2021</v>
      </c>
      <c r="D19">
        <v>0</v>
      </c>
      <c r="E19" t="s">
        <v>33</v>
      </c>
    </row>
    <row r="20" spans="1:5" x14ac:dyDescent="0.3">
      <c r="A20" s="1" t="s">
        <v>43</v>
      </c>
      <c r="B20">
        <v>2340</v>
      </c>
      <c r="C20">
        <v>2020</v>
      </c>
      <c r="D20">
        <v>715130</v>
      </c>
      <c r="E20" t="s">
        <v>33</v>
      </c>
    </row>
    <row r="21" spans="1:5" x14ac:dyDescent="0.3">
      <c r="A21" s="1" t="s">
        <v>43</v>
      </c>
      <c r="B21">
        <v>2340</v>
      </c>
      <c r="C21">
        <v>2021</v>
      </c>
      <c r="D21">
        <v>474928</v>
      </c>
      <c r="E21" t="s">
        <v>33</v>
      </c>
    </row>
    <row r="22" spans="1:5" x14ac:dyDescent="0.3">
      <c r="A22" s="1" t="s">
        <v>44</v>
      </c>
      <c r="B22">
        <v>2350</v>
      </c>
      <c r="C22">
        <v>2020</v>
      </c>
      <c r="D22">
        <v>-515561</v>
      </c>
      <c r="E22" t="s">
        <v>33</v>
      </c>
    </row>
    <row r="23" spans="1:5" x14ac:dyDescent="0.3">
      <c r="A23" s="1" t="s">
        <v>44</v>
      </c>
      <c r="B23">
        <v>2350</v>
      </c>
      <c r="C23">
        <v>2021</v>
      </c>
      <c r="D23">
        <v>-481702</v>
      </c>
      <c r="E23" t="s">
        <v>33</v>
      </c>
    </row>
    <row r="24" spans="1:5" x14ac:dyDescent="0.3">
      <c r="A24" s="1" t="s">
        <v>39</v>
      </c>
      <c r="B24">
        <v>2300</v>
      </c>
      <c r="C24">
        <v>2020</v>
      </c>
      <c r="D24">
        <v>1271085</v>
      </c>
      <c r="E24" t="s">
        <v>33</v>
      </c>
    </row>
    <row r="25" spans="1:5" x14ac:dyDescent="0.3">
      <c r="A25" s="1" t="s">
        <v>39</v>
      </c>
      <c r="B25">
        <v>2300</v>
      </c>
      <c r="C25">
        <v>2021</v>
      </c>
      <c r="D25">
        <v>1083067</v>
      </c>
      <c r="E25" t="s">
        <v>33</v>
      </c>
    </row>
    <row r="26" spans="1:5" x14ac:dyDescent="0.3">
      <c r="A26" s="1" t="s">
        <v>46</v>
      </c>
      <c r="B26">
        <v>2410</v>
      </c>
      <c r="C26">
        <v>2020</v>
      </c>
      <c r="D26">
        <v>-239547</v>
      </c>
      <c r="E26" t="s">
        <v>33</v>
      </c>
    </row>
    <row r="27" spans="1:5" x14ac:dyDescent="0.3">
      <c r="A27" s="1" t="s">
        <v>46</v>
      </c>
      <c r="B27">
        <v>2410</v>
      </c>
      <c r="C27">
        <v>2021</v>
      </c>
      <c r="D27">
        <v>-38959</v>
      </c>
      <c r="E27" t="s">
        <v>33</v>
      </c>
    </row>
    <row r="28" spans="1:5" x14ac:dyDescent="0.3">
      <c r="A28" s="1" t="s">
        <v>47</v>
      </c>
      <c r="B28">
        <v>2411</v>
      </c>
      <c r="C28">
        <v>2020</v>
      </c>
      <c r="D28">
        <v>-245110</v>
      </c>
      <c r="E28" t="s">
        <v>33</v>
      </c>
    </row>
    <row r="29" spans="1:5" x14ac:dyDescent="0.3">
      <c r="A29" s="1" t="s">
        <v>47</v>
      </c>
      <c r="B29">
        <v>2411</v>
      </c>
      <c r="C29">
        <v>2021</v>
      </c>
      <c r="D29">
        <v>-29945</v>
      </c>
      <c r="E29" t="s">
        <v>33</v>
      </c>
    </row>
    <row r="30" spans="1:5" x14ac:dyDescent="0.3">
      <c r="A30" s="1" t="s">
        <v>48</v>
      </c>
      <c r="B30">
        <v>2412</v>
      </c>
      <c r="C30">
        <v>2020</v>
      </c>
      <c r="D30">
        <v>5563</v>
      </c>
      <c r="E30" t="s">
        <v>33</v>
      </c>
    </row>
    <row r="31" spans="1:5" x14ac:dyDescent="0.3">
      <c r="A31" s="1" t="s">
        <v>48</v>
      </c>
      <c r="B31">
        <v>2412</v>
      </c>
      <c r="C31">
        <v>2021</v>
      </c>
      <c r="D31">
        <v>-5294</v>
      </c>
      <c r="E31" t="s">
        <v>33</v>
      </c>
    </row>
    <row r="32" spans="1:5" x14ac:dyDescent="0.3">
      <c r="A32" s="1" t="s">
        <v>49</v>
      </c>
      <c r="B32">
        <v>2460</v>
      </c>
      <c r="C32">
        <v>2020</v>
      </c>
      <c r="D32">
        <v>0</v>
      </c>
      <c r="E32" t="s">
        <v>33</v>
      </c>
    </row>
    <row r="33" spans="1:5" x14ac:dyDescent="0.3">
      <c r="A33" s="1" t="s">
        <v>49</v>
      </c>
      <c r="B33">
        <v>2460</v>
      </c>
      <c r="C33">
        <v>2021</v>
      </c>
      <c r="D33">
        <v>-10461</v>
      </c>
      <c r="E33" t="s">
        <v>33</v>
      </c>
    </row>
    <row r="34" spans="1:5" x14ac:dyDescent="0.3">
      <c r="A34" s="1" t="s">
        <v>45</v>
      </c>
      <c r="B34">
        <v>2400</v>
      </c>
      <c r="C34">
        <v>2020</v>
      </c>
      <c r="D34">
        <v>1031538</v>
      </c>
      <c r="E34" t="s">
        <v>33</v>
      </c>
    </row>
    <row r="35" spans="1:5" x14ac:dyDescent="0.3">
      <c r="A35" s="1" t="s">
        <v>45</v>
      </c>
      <c r="B35">
        <v>2400</v>
      </c>
      <c r="C35">
        <v>2021</v>
      </c>
      <c r="D35">
        <v>1033647</v>
      </c>
      <c r="E35" t="s">
        <v>33</v>
      </c>
    </row>
    <row r="36" spans="1:5" x14ac:dyDescent="0.3">
      <c r="A36" s="1" t="s">
        <v>50</v>
      </c>
      <c r="B36">
        <v>2500</v>
      </c>
      <c r="C36">
        <v>2020</v>
      </c>
      <c r="D36">
        <v>1031538</v>
      </c>
      <c r="E36" t="s">
        <v>33</v>
      </c>
    </row>
    <row r="37" spans="1:5" x14ac:dyDescent="0.3">
      <c r="A37" s="1" t="s">
        <v>50</v>
      </c>
      <c r="B37">
        <v>2500</v>
      </c>
      <c r="C37">
        <v>2021</v>
      </c>
      <c r="D37">
        <v>1033647</v>
      </c>
      <c r="E37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analytics_mart</vt:lpstr>
      <vt:lpstr>clean_financials_2020_2025</vt:lpstr>
      <vt:lpstr>clean_balance_2020_2025</vt:lpstr>
      <vt:lpstr>clean_income_statement_2020_202</vt:lpstr>
      <vt:lpstr>2023-2025</vt:lpstr>
      <vt:lpstr>2020-2022</vt:lpstr>
      <vt:lpstr>офр_24_25</vt:lpstr>
      <vt:lpstr>офр_22_23</vt:lpstr>
      <vt:lpstr>офр_20_21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Timofei Babin</dc:creator>
  <cp:lastModifiedBy>Timofei Babin</cp:lastModifiedBy>
  <dcterms:created xsi:type="dcterms:W3CDTF">2026-06-17T13:25:46Z</dcterms:created>
  <dcterms:modified xsi:type="dcterms:W3CDTF">2026-06-17T13:25:46Z</dcterms:modified>
</cp:coreProperties>
</file>